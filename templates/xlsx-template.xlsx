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חישוב דירוג מצב המבני לקבוצה מב" state="visible" r:id="rId4"/>
    <sheet sheetId="2" name="חישוב הציון - מפתח 1" state="visible" r:id="rId5"/>
    <sheet sheetId="3" name="חישוב הציון - מפתח 2" state="visible" r:id="rId6"/>
    <sheet sheetId="4" name="Sheet1" state="hidden" r:id="rId7"/>
    <sheet sheetId="5" name="חישוב הציון - מפתח 3" state="visible" r:id="rId8"/>
    <sheet sheetId="6" name="חישוב הציון - מפתח 4" state="visible" r:id="rId9"/>
    <sheet sheetId="7" name="חישוב הציון - מפתח 5" state="visible" r:id="rId10"/>
    <sheet sheetId="8" name="חישוב הציון - מפתח 6" state="visible" r:id="rId11"/>
  </sheets>
  <definedNames>
    <definedName name="Excel_BuiltIn__FilterDatabase">'חישוב הציון - מפתח 6'!$W$13:$W$16</definedName>
    <definedName name="_xlnm.Print_Area" localSheetId="0">'חישוב דירוג מצב המבני לקבוצה מב'!$B1:$Y42</definedName>
    <definedName name="_xlnm.Print_Titles" localSheetId="0">'חישוב דירוג מצב המבני לקבוצה מב'!$1:$5</definedName>
    <definedName name="_xlnm.Print_Area" localSheetId="1">'חישוב הציון - מפתח 1'!$B1:$Y65</definedName>
    <definedName name="_xlnm.Print_Titles" localSheetId="1">'חישוב הציון - מפתח 1'!$1:$5</definedName>
    <definedName name="_xlnm.Print_Area" localSheetId="2">'חישוב הציון - מפתח 2'!$B1:$Y65</definedName>
    <definedName name="_xlnm.Print_Titles" localSheetId="2">'חישוב הציון - מפתח 2'!$1:$5</definedName>
    <definedName name="_xlnm.Print_Area" localSheetId="4">'חישוב הציון - מפתח 3'!$B1:$Y65</definedName>
    <definedName name="_xlnm.Print_Titles" localSheetId="4">'חישוב הציון - מפתח 3'!$1:$5</definedName>
    <definedName name="_xlnm.Print_Area" localSheetId="5">'חישוב הציון - מפתח 4'!$B1:$Y66</definedName>
    <definedName name="_xlnm.Print_Titles" localSheetId="5">'חישוב הציון - מפתח 4'!$1:$5</definedName>
    <definedName name="_xlnm.Print_Area" localSheetId="6">'חישוב הציון - מפתח 5'!$A1:$Y65</definedName>
    <definedName name="_xlnm.Print_Titles" localSheetId="6">'חישוב הציון - מפתח 5'!$1:$10</definedName>
    <definedName name="_xlnm.Print_Area" localSheetId="7">'חישוב הציון - מפתח 6'!$B1:$Y66</definedName>
    <definedName name="_xlnm.Print_Titles" localSheetId="7">'חישוב הציון - מפתח 6'!$1:$5</definedName>
  </definedNames>
  <calcPr calcId="171027"/>
</workbook>
</file>

<file path=xl/sharedStrings.xml><?xml version="1.0" encoding="utf-8"?>
<sst xmlns="http://schemas.openxmlformats.org/spreadsheetml/2006/main" count="1130" uniqueCount="149">
  <si>
    <t>גיליון לחישוב דירוג מצב Condition PI לגשר רכב בעל 4 מפתחים</t>
  </si>
  <si>
    <t>מספר מבנה:</t>
  </si>
  <si>
    <t>שם המבנה:</t>
  </si>
  <si>
    <t>גשר החשמל/הזרע 01</t>
  </si>
  <si>
    <t>שם החברה:</t>
  </si>
  <si>
    <t>קדמור מהנדסים בע''מ</t>
  </si>
  <si>
    <t>שם הסוקר:</t>
  </si>
  <si>
    <t>אמיר קדר</t>
  </si>
  <si>
    <t>תאריך סקירה:</t>
  </si>
  <si>
    <t>מספר המפתחים / השדות / התאים עבורם יחושב הציון בגיליון זה:</t>
  </si>
  <si>
    <t>פרוט:</t>
  </si>
  <si>
    <t>חישוב דירוג בעבור גשר בעל 6 מפתחים</t>
  </si>
  <si>
    <t>מפתח / שדה / תא מספר:</t>
  </si>
  <si>
    <t>מתוך:</t>
  </si>
  <si>
    <t>אורך המפתח:</t>
  </si>
  <si>
    <t>רוחב המפתח:</t>
  </si>
  <si>
    <t>שטח המיסעה:</t>
  </si>
  <si>
    <r>
      <rPr>
        <family val="2"/>
        <sz val="11"/>
        <rFont val="Calibri"/>
      </rPr>
      <t>עבור מבנה בעל שלושה מפתחים או יותר חישוב הציון הממוצע לכלל הגשר SCSAv</t>
    </r>
    <r>
      <rPr>
        <family val="2"/>
        <sz val="11"/>
        <rFont val="Arial"/>
      </rPr>
      <t xml:space="preserve"> יבוצע בהתאם לשיטה הבאה:</t>
    </r>
  </si>
  <si>
    <t>(משוואה 9.1)</t>
  </si>
  <si>
    <t xml:space="preserve">  (משוואה 6.2)</t>
  </si>
  <si>
    <r>
      <rPr>
        <family val="2"/>
        <sz val="11"/>
        <rFont val="Calibri"/>
      </rPr>
      <t xml:space="preserve">חישוב הציון הקריטי </t>
    </r>
    <r>
      <rPr>
        <family val="2"/>
        <sz val="12"/>
        <rFont val="Calibri"/>
      </rPr>
      <t>SCS</t>
    </r>
    <r>
      <rPr>
        <family val="2"/>
        <vertAlign val="subscript"/>
        <sz val="12"/>
        <rFont val="Calibri"/>
      </rPr>
      <t>Crit</t>
    </r>
    <r>
      <rPr>
        <family val="2"/>
        <sz val="12"/>
        <rFont val="David"/>
      </rPr>
      <t xml:space="preserve"> למבנה יהיה הציון הקריטי הגבוה ביותר מכל המפתחים השונים (ללא ממוצע). </t>
    </r>
  </si>
  <si>
    <t>(משוואה 7)</t>
  </si>
  <si>
    <t>טבלת סיכום ציונים ערכים קריטיים וממוצע בעבור המפתחים:</t>
  </si>
  <si>
    <t>מס' מפתח</t>
  </si>
  <si>
    <t>Deck Area</t>
  </si>
  <si>
    <t>SCS av</t>
  </si>
  <si>
    <t>SCS crit</t>
  </si>
  <si>
    <t>התקבלו הערכים הבאים</t>
  </si>
  <si>
    <t>SCSAv =</t>
  </si>
  <si>
    <t>SCScrit =</t>
  </si>
  <si>
    <t xml:space="preserve"> </t>
  </si>
  <si>
    <t>(משוואה 8.1)</t>
  </si>
  <si>
    <t>(משוואה 8.2)</t>
  </si>
  <si>
    <r>
      <rPr>
        <b/>
        <family val="2"/>
        <sz val="10"/>
        <rFont val="Calibri"/>
      </rPr>
      <t xml:space="preserve">Condition PI </t>
    </r>
    <r>
      <rPr>
        <b/>
        <family val="2"/>
        <sz val="9"/>
        <rFont val="Arial"/>
      </rPr>
      <t xml:space="preserve">BRG - Av = </t>
    </r>
  </si>
  <si>
    <r>
      <rPr>
        <b/>
        <family val="2"/>
        <sz val="10"/>
        <rFont val="Calibri"/>
      </rPr>
      <t xml:space="preserve">Condition PI </t>
    </r>
    <r>
      <rPr>
        <b/>
        <family val="2"/>
        <sz val="9"/>
        <rFont val="Arial"/>
      </rPr>
      <t xml:space="preserve">BRG - Crit = </t>
    </r>
  </si>
  <si>
    <t>גיליון לחישוב ציון המבנה</t>
  </si>
  <si>
    <t>גשר בעל 6 מפתחים</t>
  </si>
  <si>
    <t>טבלה המסכמת את כל הרכיבים עם סוגי הפגמים, חומרה וההיקף שלהם לאחר הערכה מפורטת ושקלול רכיב בעל ריבוי פגמים לחישוב הציון הסופי.</t>
  </si>
  <si>
    <t>מס' רכיב</t>
  </si>
  <si>
    <t>שם הרכיב</t>
  </si>
  <si>
    <t>סיווג חשיבות הרכיב</t>
  </si>
  <si>
    <t>Detailed estimation</t>
  </si>
  <si>
    <t>Defect</t>
  </si>
  <si>
    <t>Severity</t>
  </si>
  <si>
    <t>Extend</t>
  </si>
  <si>
    <t>e</t>
  </si>
  <si>
    <t>S</t>
  </si>
  <si>
    <t>Ecs</t>
  </si>
  <si>
    <t>האם Ecs שונה עקב שילובי פגמים?</t>
  </si>
  <si>
    <t>ecf</t>
  </si>
  <si>
    <t>Ecf</t>
  </si>
  <si>
    <t>Eci</t>
  </si>
  <si>
    <t>Eif</t>
  </si>
  <si>
    <t>הערות</t>
  </si>
  <si>
    <t xml:space="preserve">סמן במידה ונעשתה הערכה מפורטת </t>
  </si>
  <si>
    <t>סוג הפגם</t>
  </si>
  <si>
    <t>חומרה</t>
  </si>
  <si>
    <t>היקף</t>
  </si>
  <si>
    <t>מספרי לצורך חישוב</t>
  </si>
  <si>
    <t>חומרה לצורך חישוב</t>
  </si>
  <si>
    <t xml:space="preserve"> ציון הרכיב הבסיסי</t>
  </si>
  <si>
    <t>סמן אם כן</t>
  </si>
  <si>
    <t>ecf לחישוב</t>
  </si>
  <si>
    <t>מקדם מצב הרכיב</t>
  </si>
  <si>
    <t>מדד הרכיב המשוקלל</t>
  </si>
  <si>
    <t>מקדם חשיבות הרכיב</t>
  </si>
  <si>
    <t>eifקיים</t>
  </si>
  <si>
    <t>eci*eifקיים</t>
  </si>
  <si>
    <t>eci בדרגת חשיבות גבוהה מאוד</t>
  </si>
  <si>
    <t>רשימה S</t>
  </si>
  <si>
    <t>רשימה E</t>
  </si>
  <si>
    <t>רכיב ראשי -קורות ראשיות</t>
  </si>
  <si>
    <t>גבוהה מאוד</t>
  </si>
  <si>
    <t>.</t>
  </si>
  <si>
    <t>2.10</t>
  </si>
  <si>
    <t>B</t>
  </si>
  <si>
    <t>רכיב לא קיים</t>
  </si>
  <si>
    <t>A</t>
  </si>
  <si>
    <t xml:space="preserve">רכיב משני - קורות רוחב </t>
  </si>
  <si>
    <t>רכיב משני מס' 3 - טבלת מיסעה</t>
  </si>
  <si>
    <t>2.12</t>
  </si>
  <si>
    <t>C</t>
  </si>
  <si>
    <t>חצאי פרקים</t>
  </si>
  <si>
    <t>D</t>
  </si>
  <si>
    <t>הרכיב אינו קיים</t>
  </si>
  <si>
    <t>קורות קשר / מוטות תליה / מתלים / הקשחות מיסעה</t>
  </si>
  <si>
    <t>E</t>
  </si>
  <si>
    <t>הקשחות מיסעה</t>
  </si>
  <si>
    <t>זיז קצה</t>
  </si>
  <si>
    <t>מעצורי גזירה</t>
  </si>
  <si>
    <t>גבוהה</t>
  </si>
  <si>
    <t>כלונסאות / יסודות / ראשי כלונסאות / רצפת מובל</t>
  </si>
  <si>
    <t>הרכיב לא ניתן לסקירה</t>
  </si>
  <si>
    <t>נציבי קצה / בסיס קשת / קירות סוגרים</t>
  </si>
  <si>
    <t>2.4</t>
  </si>
  <si>
    <t>קירות מצח</t>
  </si>
  <si>
    <t>עמודים / נציבי ביניים / חיזוקי קשתות</t>
  </si>
  <si>
    <t>קורות ראש / ראשי עמודים</t>
  </si>
  <si>
    <t>סמכים מסוגים שונים</t>
  </si>
  <si>
    <t>תושבות</t>
  </si>
  <si>
    <t>משטחי השענה לסמכים</t>
  </si>
  <si>
    <t>בינונית</t>
  </si>
  <si>
    <t>ניקוז מבנה עליון</t>
  </si>
  <si>
    <t>ניקוז מבנה תחתון / תעלות</t>
  </si>
  <si>
    <t>איטומים שונים (מבנה עליון ותחתון)</t>
  </si>
  <si>
    <t>תפרי התפשטות במיסעות גשרים</t>
  </si>
  <si>
    <t>11.15</t>
  </si>
  <si>
    <t>צביעה וציפויי הגנה: אלמנטי מבנה עליון</t>
  </si>
  <si>
    <t>חיפוי/צביעה וציפויי הגנה: אלמנטי מבנה תחתון</t>
  </si>
  <si>
    <t>חיפוי/צביעה וציפויי הגנה: כרכובים ומעקות</t>
  </si>
  <si>
    <t>5.1</t>
  </si>
  <si>
    <t>שבילי גישה / סולמות / מעברים / מדרגות</t>
  </si>
  <si>
    <t>מעקות בטיחות / מעקות לה"ר</t>
  </si>
  <si>
    <t>1.3</t>
  </si>
  <si>
    <t>ציפוי מיסעה (אספלט וכדו')</t>
  </si>
  <si>
    <t>6.1</t>
  </si>
  <si>
    <t>ציפוי פני מדרכות / הגבהות / שוליים / ציפוי פני גשר ה"ר</t>
  </si>
  <si>
    <t>נמוכה</t>
  </si>
  <si>
    <t>10.3</t>
  </si>
  <si>
    <t>קרקעית הנחל / תחתית השטח מתחת לגשר</t>
  </si>
  <si>
    <t>סינורים / קורות שפה / כרכובים</t>
  </si>
  <si>
    <t>הגנת נציבים / הגנת התנגשות / הגנה מזרימהתפרי התפשטות</t>
  </si>
  <si>
    <t>רכיבי הסדרת ערוץ</t>
  </si>
  <si>
    <t>דיפונים / מדרונות משופעים מצופים</t>
  </si>
  <si>
    <t>קירות כנף</t>
  </si>
  <si>
    <t>קירות תומכים</t>
  </si>
  <si>
    <t>פני דופן סוללות</t>
  </si>
  <si>
    <t>תפרי התפשטות בקירות כנף  ומובלים</t>
  </si>
  <si>
    <t>ערך דירוג מצב המבנה</t>
  </si>
  <si>
    <t>sum(Eci*Eif)/sum(Eif)=</t>
  </si>
  <si>
    <r>
      <rPr>
        <b/>
        <color rgb="FFFF0000"/>
        <family val="2"/>
        <sz val="12"/>
        <rFont val="Arial"/>
      </rPr>
      <t>SCS</t>
    </r>
    <r>
      <rPr>
        <b/>
        <color rgb="FFFF0000"/>
        <family val="2"/>
        <sz val="6"/>
        <rFont val="Arial"/>
      </rPr>
      <t>AV</t>
    </r>
    <r>
      <rPr>
        <b/>
        <color rgb="FFFF0000"/>
        <family val="2"/>
        <sz val="10"/>
        <rFont val="Arial"/>
      </rPr>
      <t>=</t>
    </r>
  </si>
  <si>
    <t>max{Eci בדרגת חשיבות גבוהה מאוד}=</t>
  </si>
  <si>
    <r>
      <rPr>
        <b/>
        <color rgb="FFFF0000"/>
        <family val="2"/>
        <sz val="12"/>
        <rFont val="Arial"/>
      </rPr>
      <t>SCS</t>
    </r>
    <r>
      <rPr>
        <b/>
        <color rgb="FFFF0000"/>
        <family val="2"/>
        <sz val="6"/>
        <rFont val="Arial"/>
      </rPr>
      <t>CRIT</t>
    </r>
    <r>
      <rPr>
        <b/>
        <color rgb="FFFF0000"/>
        <family val="2"/>
        <sz val="10"/>
        <rFont val="Arial"/>
      </rPr>
      <t>=</t>
    </r>
  </si>
  <si>
    <t xml:space="preserve">ערך סמן דירוג מצב המבנה </t>
  </si>
  <si>
    <t>100-2{(SCSAV)^2+(6.5*SCSAV)-7.5} =</t>
  </si>
  <si>
    <r>
      <rPr>
        <b/>
        <color rgb="FFFF0000"/>
        <family val="2"/>
        <sz val="12"/>
        <rFont val="Arial"/>
      </rPr>
      <t>Condition PI</t>
    </r>
    <r>
      <rPr>
        <b/>
        <color rgb="FFFF0000"/>
        <family val="2"/>
        <sz val="6"/>
        <rFont val="Arial"/>
      </rPr>
      <t>AV</t>
    </r>
    <r>
      <rPr>
        <b/>
        <color rgb="FFFF0000"/>
        <family val="2"/>
        <sz val="10"/>
        <rFont val="Arial"/>
      </rPr>
      <t>=</t>
    </r>
  </si>
  <si>
    <t>100-2{(SCSCrit)^2+(6.5*SCSCrit)-7.5} =</t>
  </si>
  <si>
    <r>
      <rPr>
        <b/>
        <color rgb="FFFF0000"/>
        <family val="2"/>
        <sz val="12"/>
        <rFont val="Arial"/>
      </rPr>
      <t>Condition PI</t>
    </r>
    <r>
      <rPr>
        <b/>
        <color rgb="FFFF0000"/>
        <family val="2"/>
        <sz val="6"/>
        <rFont val="Arial"/>
      </rPr>
      <t>Crit</t>
    </r>
    <r>
      <rPr>
        <b/>
        <color rgb="FFFF0000"/>
        <family val="2"/>
        <sz val="10"/>
        <rFont val="Arial"/>
      </rPr>
      <t>=</t>
    </r>
  </si>
  <si>
    <t>2.6</t>
  </si>
  <si>
    <t>2.7</t>
  </si>
  <si>
    <t>9.2</t>
  </si>
  <si>
    <t>2.1</t>
  </si>
  <si>
    <t>תפרי התפשטות בקירות גשר ומובלים</t>
  </si>
  <si>
    <t>2.3</t>
  </si>
  <si>
    <t>11.2</t>
  </si>
  <si>
    <t>10.6</t>
  </si>
  <si>
    <t>2.13</t>
  </si>
  <si>
    <t>13.10</t>
  </si>
  <si>
    <t>11.1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</si>
</sst>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;@"/>
    <numFmt numFmtId="165" formatCode="[$-40D]d mmmm yyyy;@"/>
    <numFmt numFmtId="166" formatCode="0.0"/>
  </numFmts>
  <fonts count="25" x14ac:knownFonts="1">
    <font>
      <color theme="1"/>
      <family val="2"/>
      <scheme val="minor"/>
      <sz val="11"/>
      <name val="Calibri"/>
    </font>
    <font>
      <family val="2"/>
      <sz val="10"/>
      <name val="Calibri"/>
    </font>
    <font>
      <b/>
      <family val="2"/>
      <sz val="12"/>
      <name val="Calibri"/>
    </font>
    <font>
      <b/>
      <family val="2"/>
      <sz val="14"/>
      <name val="Calibri"/>
    </font>
    <font>
      <family val="2"/>
      <sz val="11"/>
      <name val="Calibri"/>
    </font>
    <font>
      <family val="2"/>
      <sz val="12"/>
      <name val="Calibri"/>
    </font>
    <font>
      <b/>
      <family val="2"/>
      <sz val="10"/>
      <name val="Calibri"/>
    </font>
    <font>
      <b/>
      <u/>
      <family val="2"/>
      <sz val="10"/>
      <name val="Calibri"/>
    </font>
    <font>
      <charset val="177"/>
      <family val="2"/>
      <sz val="12"/>
      <name val="David"/>
    </font>
    <font>
      <color rgb="FFFF0000"/>
      <family val="2"/>
      <sz val="14"/>
      <name val="Arial"/>
    </font>
    <font>
      <sz val="10"/>
      <name val="Arial"/>
    </font>
    <font>
      <b/>
      <family val="2"/>
      <sz val="12"/>
      <name val="Arial"/>
    </font>
    <font>
      <b/>
      <family val="2"/>
      <sz val="14"/>
      <name val="Arial"/>
    </font>
    <font>
      <family val="2"/>
      <sz val="11"/>
      <name val="Arial"/>
    </font>
    <font>
      <family val="2"/>
      <sz val="10"/>
      <name val="Arial"/>
    </font>
    <font>
      <b/>
      <family val="2"/>
      <sz val="10"/>
      <name val="Arial"/>
    </font>
    <font>
      <b/>
      <family val="2"/>
      <sz val="9"/>
      <name val="Arial"/>
    </font>
    <font>
      <color rgb="FFFF0000"/>
      <family val="2"/>
      <sz val="10"/>
      <name val="Arial"/>
    </font>
    <font>
      <family val="2"/>
      <sz val="8"/>
      <name val="Arial"/>
    </font>
    <font>
      <family val="2"/>
      <sz val="7"/>
      <name val="Arial"/>
    </font>
    <font>
      <family val="2"/>
      <sz val="12"/>
      <name val="Arial"/>
    </font>
    <font>
      <b/>
      <color rgb="FFFF0000"/>
      <family val="2"/>
      <sz val="12"/>
      <name val="Arial"/>
    </font>
    <font>
      <b/>
      <u/>
      <color rgb="FFFF0000"/>
      <family val="2"/>
      <sz val="12"/>
      <name val="Arial"/>
    </font>
    <font>
      <color rgb="FFFF0000"/>
      <family val="2"/>
      <sz val="12"/>
      <name val="Arial"/>
    </font>
    <font>
      <b/>
      <color rgb="FFFF0000"/>
      <family val="2"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0066CC"/>
        <bgColor rgb="FF008080"/>
      </patternFill>
    </fill>
  </fills>
  <borders count="39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medium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thin"/>
      <right/>
      <top/>
      <bottom style="thin"/>
      <diagonal/>
    </border>
    <border>
      <left/>
      <right/>
      <top style="medium"/>
      <bottom/>
      <diagonal/>
    </border>
    <border>
      <left style="medium"/>
      <right style="medium"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thin"/>
      <right style="thin"/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 applyAlignment="1">
      <alignment vertical="bottom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 readingOrder="2"/>
    </xf>
    <xf numFmtId="0" fontId="1" fillId="0" borderId="1" xfId="0" applyFont="1" applyBorder="1" applyAlignment="1">
      <alignment vertical="center"/>
    </xf>
    <xf numFmtId="0" fontId="4" fillId="0" borderId="2" xfId="0" applyFont="1" applyBorder="1" applyAlignment="1">
      <alignment horizontal="right" vertical="center" readingOrder="2"/>
    </xf>
    <xf numFmtId="0" fontId="1" fillId="2" borderId="3" xfId="0" applyFont="1" applyFill="1" applyBorder="1" applyAlignment="1">
      <alignment horizontal="center" vertical="center" shrinkToFit="1" readingOrder="2"/>
    </xf>
    <xf numFmtId="0" fontId="4" fillId="0" borderId="3" xfId="0" applyFont="1" applyBorder="1" applyAlignment="1">
      <alignment horizontal="right" vertical="center" readingOrder="2"/>
    </xf>
    <xf numFmtId="0" fontId="4" fillId="3" borderId="4" xfId="0" applyFont="1" applyFill="1" applyBorder="1" applyAlignment="1">
      <alignment horizontal="right" vertical="center" readingOrder="2"/>
    </xf>
    <xf numFmtId="0" fontId="1" fillId="3" borderId="5" xfId="0" applyFont="1" applyFill="1" applyBorder="1" applyAlignment="1">
      <alignment horizontal="center" vertical="center" shrinkToFit="1" readingOrder="2"/>
    </xf>
    <xf numFmtId="0" fontId="4" fillId="3" borderId="5" xfId="0" applyFont="1" applyFill="1" applyBorder="1" applyAlignment="1">
      <alignment horizontal="right" vertical="center" readingOrder="2"/>
    </xf>
    <xf numFmtId="0" fontId="1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 shrinkToFit="1"/>
    </xf>
    <xf numFmtId="0" fontId="1" fillId="3" borderId="6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8" xfId="0" applyFont="1" applyBorder="1" applyAlignment="1">
      <alignment horizontal="right" vertical="center" readingOrder="2"/>
    </xf>
    <xf numFmtId="0" fontId="1" fillId="2" borderId="9" xfId="0" applyFont="1" applyFill="1" applyBorder="1" applyAlignment="1">
      <alignment horizontal="center" vertical="center" shrinkToFit="1" readingOrder="2"/>
    </xf>
    <xf numFmtId="0" fontId="4" fillId="0" borderId="9" xfId="0" applyFont="1" applyBorder="1" applyAlignment="1">
      <alignment horizontal="right" vertical="center" readingOrder="2"/>
    </xf>
    <xf numFmtId="0" fontId="4" fillId="0" borderId="9" xfId="0" applyFont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5" fontId="1" fillId="2" borderId="10" xfId="0" applyNumberFormat="1" applyFont="1" applyFill="1" applyBorder="1" applyAlignment="1">
      <alignment vertical="center" shrinkToFit="1"/>
    </xf>
    <xf numFmtId="0" fontId="1" fillId="0" borderId="10" xfId="0" applyFont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4" fillId="0" borderId="12" xfId="0" applyFont="1" applyBorder="1" applyAlignment="1">
      <alignment horizontal="right" vertical="center" wrapText="1" readingOrder="2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right" vertical="center" wrapText="1" readingOrder="2"/>
    </xf>
    <xf numFmtId="0" fontId="1" fillId="2" borderId="16" xfId="0" applyFont="1" applyFill="1" applyBorder="1" applyAlignment="1">
      <alignment horizontal="center" vertical="bottom"/>
    </xf>
    <xf numFmtId="0" fontId="4" fillId="0" borderId="16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bottom"/>
    </xf>
    <xf numFmtId="0" fontId="1" fillId="3" borderId="16" xfId="0" applyFont="1" applyFill="1" applyBorder="1" applyAlignment="1">
      <alignment vertical="bottom"/>
    </xf>
    <xf numFmtId="0" fontId="1" fillId="0" borderId="16" xfId="0" applyFont="1" applyBorder="1" applyAlignment="1">
      <alignment vertical="bottom"/>
    </xf>
    <xf numFmtId="0" fontId="1" fillId="2" borderId="17" xfId="0" applyFont="1" applyFill="1" applyBorder="1" applyAlignment="1">
      <alignment horizontal="center" vertical="bottom"/>
    </xf>
    <xf numFmtId="0" fontId="1" fillId="4" borderId="18" xfId="0" applyFont="1" applyFill="1" applyBorder="1" applyAlignment="1">
      <alignment horizontal="center" vertical="bottom"/>
    </xf>
    <xf numFmtId="0" fontId="4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readingOrder="2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5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shrinkToFit="1"/>
    </xf>
    <xf numFmtId="166" fontId="1" fillId="2" borderId="9" xfId="0" applyNumberFormat="1" applyFont="1" applyFill="1" applyBorder="1" applyAlignment="1">
      <alignment horizontal="center" vertical="center" shrinkToFit="1"/>
    </xf>
    <xf numFmtId="0" fontId="1" fillId="2" borderId="20" xfId="0" applyFont="1" applyFill="1" applyBorder="1" applyAlignment="1">
      <alignment horizontal="center" vertical="center" shrinkToFit="1"/>
    </xf>
    <xf numFmtId="0" fontId="1" fillId="6" borderId="20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166" fontId="1" fillId="2" borderId="13" xfId="0" applyNumberFormat="1" applyFont="1" applyFill="1" applyBorder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left" vertical="center" readingOrder="1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right" vertical="center" readingOrder="1"/>
    </xf>
    <xf numFmtId="2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justify" vertical="center" readingOrder="2"/>
    </xf>
    <xf numFmtId="166" fontId="9" fillId="4" borderId="21" xfId="0" applyNumberFormat="1" applyFont="1" applyFill="1" applyBorder="1" applyAlignment="1">
      <alignment horizontal="center" vertical="bottom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bottom"/>
    </xf>
    <xf numFmtId="0" fontId="1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vertical="bottom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 readingOrder="2"/>
    </xf>
    <xf numFmtId="0" fontId="10" fillId="0" borderId="1" xfId="0" applyFont="1" applyBorder="1" applyAlignment="1">
      <alignment vertical="center"/>
    </xf>
    <xf numFmtId="0" fontId="13" fillId="0" borderId="2" xfId="0" applyFont="1" applyBorder="1" applyAlignment="1">
      <alignment horizontal="right" vertical="center" readingOrder="2"/>
    </xf>
    <xf numFmtId="0" fontId="14" fillId="2" borderId="3" xfId="0" applyFont="1" applyFill="1" applyBorder="1" applyAlignment="1">
      <alignment horizontal="center" vertical="center" shrinkToFit="1" readingOrder="2"/>
    </xf>
    <xf numFmtId="0" fontId="13" fillId="0" borderId="3" xfId="0" applyFont="1" applyBorder="1" applyAlignment="1">
      <alignment horizontal="right" vertical="center" readingOrder="2"/>
    </xf>
    <xf numFmtId="0" fontId="1" fillId="2" borderId="4" xfId="0" applyFont="1" applyFill="1" applyBorder="1" applyAlignment="1">
      <alignment horizontal="center" vertical="center" shrinkToFit="1" readingOrder="2"/>
    </xf>
    <xf numFmtId="0" fontId="13" fillId="3" borderId="4" xfId="0" applyFont="1" applyFill="1" applyBorder="1" applyAlignment="1">
      <alignment horizontal="right" vertical="center" readingOrder="2"/>
    </xf>
    <xf numFmtId="0" fontId="14" fillId="3" borderId="5" xfId="0" applyFont="1" applyFill="1" applyBorder="1" applyAlignment="1">
      <alignment horizontal="center" vertical="center" shrinkToFit="1" readingOrder="2"/>
    </xf>
    <xf numFmtId="0" fontId="13" fillId="3" borderId="5" xfId="0" applyFont="1" applyFill="1" applyBorder="1" applyAlignment="1">
      <alignment horizontal="right" vertical="center" readingOrder="2"/>
    </xf>
    <xf numFmtId="0" fontId="14" fillId="3" borderId="5" xfId="0" applyFont="1" applyFill="1" applyBorder="1" applyAlignment="1">
      <alignment vertical="center"/>
    </xf>
    <xf numFmtId="0" fontId="14" fillId="3" borderId="5" xfId="0" applyFont="1" applyFill="1" applyBorder="1" applyAlignment="1">
      <alignment vertical="center" shrinkToFit="1"/>
    </xf>
    <xf numFmtId="0" fontId="10" fillId="3" borderId="5" xfId="0" applyFont="1" applyFill="1" applyBorder="1" applyAlignment="1">
      <alignment vertical="center"/>
    </xf>
    <xf numFmtId="0" fontId="10" fillId="3" borderId="6" xfId="0" applyFont="1" applyFill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3" fillId="0" borderId="8" xfId="0" applyFont="1" applyBorder="1" applyAlignment="1">
      <alignment horizontal="right" vertical="center" readingOrder="2"/>
    </xf>
    <xf numFmtId="0" fontId="14" fillId="2" borderId="9" xfId="0" applyFont="1" applyFill="1" applyBorder="1" applyAlignment="1">
      <alignment horizontal="center" vertical="center" shrinkToFit="1" readingOrder="2"/>
    </xf>
    <xf numFmtId="0" fontId="13" fillId="0" borderId="9" xfId="0" applyFont="1" applyBorder="1" applyAlignment="1">
      <alignment horizontal="right" vertical="center" readingOrder="2"/>
    </xf>
    <xf numFmtId="0" fontId="13" fillId="0" borderId="10" xfId="0" applyFont="1" applyBorder="1" applyAlignment="1">
      <alignment vertical="center"/>
    </xf>
    <xf numFmtId="164" fontId="1" fillId="2" borderId="22" xfId="0" applyNumberFormat="1" applyFont="1" applyFill="1" applyBorder="1" applyAlignment="1">
      <alignment vertical="center"/>
    </xf>
    <xf numFmtId="165" fontId="14" fillId="2" borderId="10" xfId="0" applyNumberFormat="1" applyFont="1" applyFill="1" applyBorder="1" applyAlignment="1">
      <alignment vertical="center" shrinkToFit="1"/>
    </xf>
    <xf numFmtId="0" fontId="10" fillId="0" borderId="10" xfId="0" applyFont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13" fillId="0" borderId="12" xfId="0" applyFont="1" applyBorder="1" applyAlignment="1">
      <alignment horizontal="right" vertical="center" wrapText="1" readingOrder="2"/>
    </xf>
    <xf numFmtId="0" fontId="10" fillId="2" borderId="13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center" vertical="center" shrinkToFit="1"/>
    </xf>
    <xf numFmtId="0" fontId="14" fillId="2" borderId="14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right" vertical="center" wrapText="1" readingOrder="2"/>
    </xf>
    <xf numFmtId="0" fontId="10" fillId="2" borderId="16" xfId="0" applyFont="1" applyFill="1" applyBorder="1" applyAlignment="1">
      <alignment horizontal="center" vertical="bottom"/>
    </xf>
    <xf numFmtId="0" fontId="13" fillId="0" borderId="16" xfId="0" applyFont="1" applyBorder="1" applyAlignment="1">
      <alignment horizontal="right" vertical="center"/>
    </xf>
    <xf numFmtId="0" fontId="10" fillId="0" borderId="16" xfId="0" applyFont="1" applyBorder="1" applyAlignment="1">
      <alignment horizontal="right" vertical="bottom"/>
    </xf>
    <xf numFmtId="0" fontId="10" fillId="3" borderId="16" xfId="0" applyFont="1" applyFill="1" applyBorder="1" applyAlignment="1">
      <alignment vertical="bottom"/>
    </xf>
    <xf numFmtId="0" fontId="10" fillId="0" borderId="16" xfId="0" applyFont="1" applyBorder="1" applyAlignment="1">
      <alignment vertical="bottom"/>
    </xf>
    <xf numFmtId="0" fontId="10" fillId="2" borderId="17" xfId="0" applyFont="1" applyFill="1" applyBorder="1" applyAlignment="1">
      <alignment horizontal="center" vertical="bottom"/>
    </xf>
    <xf numFmtId="0" fontId="10" fillId="4" borderId="18" xfId="0" applyFont="1" applyFill="1" applyBorder="1" applyAlignment="1">
      <alignment horizontal="center" vertical="bottom"/>
    </xf>
    <xf numFmtId="0" fontId="13" fillId="0" borderId="0" xfId="0" applyFont="1" applyAlignment="1">
      <alignment horizontal="right" vertical="center" wrapText="1" readingOrder="2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bottom" wrapText="1"/>
    </xf>
    <xf numFmtId="0" fontId="10" fillId="0" borderId="0" xfId="0" applyFont="1" applyAlignment="1">
      <alignment horizontal="center" vertical="bottom"/>
    </xf>
    <xf numFmtId="0" fontId="13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bottom"/>
    </xf>
    <xf numFmtId="0" fontId="11" fillId="0" borderId="21" xfId="0" applyFont="1" applyBorder="1" applyAlignment="1">
      <alignment vertical="bottom"/>
    </xf>
    <xf numFmtId="0" fontId="10" fillId="0" borderId="1" xfId="0" applyFont="1" applyBorder="1" applyAlignment="1">
      <alignment vertical="bottom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3" xfId="0" applyFont="1" applyBorder="1" applyAlignment="1">
      <alignment vertical="bottom"/>
    </xf>
    <xf numFmtId="0" fontId="15" fillId="3" borderId="2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/>
    </xf>
    <xf numFmtId="0" fontId="18" fillId="3" borderId="25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right" vertical="center"/>
    </xf>
    <xf numFmtId="0" fontId="10" fillId="4" borderId="1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49" fontId="14" fillId="2" borderId="10" xfId="0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right" vertical="center" wrapText="1"/>
    </xf>
    <xf numFmtId="0" fontId="10" fillId="2" borderId="9" xfId="0" applyFont="1" applyFill="1" applyBorder="1" applyAlignment="1">
      <alignment horizontal="center" vertical="center"/>
    </xf>
    <xf numFmtId="49" fontId="14" fillId="2" borderId="9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right" vertical="center"/>
    </xf>
    <xf numFmtId="49" fontId="10" fillId="2" borderId="9" xfId="0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right" vertical="center" wrapText="1" shrinkToFit="1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right" vertical="center" wrapText="1"/>
    </xf>
    <xf numFmtId="0" fontId="10" fillId="4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49" fontId="14" fillId="2" borderId="13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5" fillId="0" borderId="0" xfId="0" applyFont="1" applyAlignment="1">
      <alignment vertical="bottom"/>
    </xf>
    <xf numFmtId="0" fontId="10" fillId="0" borderId="23" xfId="0" applyFont="1" applyBorder="1" applyAlignment="1">
      <alignment horizontal="center" vertical="bottom"/>
    </xf>
    <xf numFmtId="0" fontId="10" fillId="0" borderId="0" xfId="0" applyFont="1" applyAlignment="1">
      <alignment horizontal="center" vertical="center" wrapText="1"/>
    </xf>
    <xf numFmtId="0" fontId="20" fillId="3" borderId="32" xfId="0" applyFont="1" applyFill="1" applyBorder="1" applyAlignment="1">
      <alignment horizontal="center" vertical="center" wrapText="1"/>
    </xf>
    <xf numFmtId="0" fontId="20" fillId="3" borderId="33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vertical="bottom"/>
    </xf>
    <xf numFmtId="0" fontId="21" fillId="3" borderId="33" xfId="0" applyFont="1" applyFill="1" applyBorder="1" applyAlignment="1">
      <alignment horizontal="center" vertical="center"/>
    </xf>
    <xf numFmtId="0" fontId="22" fillId="3" borderId="33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10" fillId="4" borderId="33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 wrapText="1"/>
    </xf>
    <xf numFmtId="166" fontId="15" fillId="4" borderId="21" xfId="0" applyNumberFormat="1" applyFont="1" applyFill="1" applyBorder="1" applyAlignment="1">
      <alignment horizontal="center" vertical="center" wrapText="1"/>
    </xf>
    <xf numFmtId="0" fontId="20" fillId="4" borderId="33" xfId="0" applyFont="1" applyFill="1" applyBorder="1" applyAlignment="1">
      <alignment vertical="bottom"/>
    </xf>
    <xf numFmtId="0" fontId="21" fillId="4" borderId="33" xfId="0" applyFont="1" applyFill="1" applyBorder="1" applyAlignment="1">
      <alignment horizontal="right" vertical="center"/>
    </xf>
    <xf numFmtId="0" fontId="10" fillId="4" borderId="7" xfId="0" applyFont="1" applyFill="1" applyBorder="1" applyAlignment="1">
      <alignment vertical="bottom"/>
    </xf>
    <xf numFmtId="0" fontId="20" fillId="4" borderId="0" xfId="0" applyFont="1" applyFill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6" fontId="15" fillId="4" borderId="32" xfId="0" applyNumberFormat="1" applyFont="1" applyFill="1" applyBorder="1" applyAlignment="1">
      <alignment horizontal="center" vertical="center" wrapText="1"/>
    </xf>
    <xf numFmtId="0" fontId="20" fillId="4" borderId="36" xfId="0" applyFont="1" applyFill="1" applyBorder="1" applyAlignment="1">
      <alignment horizontal="center" vertical="center"/>
    </xf>
    <xf numFmtId="0" fontId="21" fillId="4" borderId="37" xfId="0" applyFont="1" applyFill="1" applyBorder="1" applyAlignment="1">
      <alignment horizontal="right" vertical="center"/>
    </xf>
    <xf numFmtId="0" fontId="10" fillId="4" borderId="38" xfId="0" applyFont="1" applyFill="1" applyBorder="1" applyAlignment="1">
      <alignment vertical="bottom"/>
    </xf>
    <xf numFmtId="0" fontId="20" fillId="0" borderId="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4" borderId="3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3" fillId="3" borderId="32" xfId="0" applyFont="1" applyFill="1" applyBorder="1" applyAlignment="1">
      <alignment horizontal="right" vertical="bottom"/>
    </xf>
    <xf numFmtId="0" fontId="24" fillId="3" borderId="33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vertical="bottom"/>
    </xf>
    <xf numFmtId="0" fontId="10" fillId="4" borderId="33" xfId="0" applyFont="1" applyFill="1" applyBorder="1" applyAlignment="1">
      <alignment vertical="bottom"/>
    </xf>
    <xf numFmtId="0" fontId="10" fillId="4" borderId="35" xfId="0" applyFont="1" applyFill="1" applyBorder="1" applyAlignment="1">
      <alignment vertical="bottom"/>
    </xf>
    <xf numFmtId="0" fontId="13" fillId="4" borderId="32" xfId="0" applyFont="1" applyFill="1" applyBorder="1" applyAlignment="1">
      <alignment horizontal="center" vertical="bottom"/>
    </xf>
    <xf numFmtId="0" fontId="21" fillId="4" borderId="33" xfId="0" applyFont="1" applyFill="1" applyBorder="1" applyAlignment="1">
      <alignment horizontal="right" vertical="bottom"/>
    </xf>
    <xf numFmtId="0" fontId="20" fillId="4" borderId="33" xfId="0" applyFont="1" applyFill="1" applyBorder="1" applyAlignment="1">
      <alignment horizontal="right" vertical="bottom"/>
    </xf>
    <xf numFmtId="0" fontId="10" fillId="4" borderId="38" xfId="0" applyFont="1" applyFill="1" applyBorder="1" applyAlignment="1">
      <alignment horizontal="right" vertical="bottom"/>
    </xf>
    <xf numFmtId="0" fontId="10" fillId="4" borderId="0" xfId="0" applyFont="1" applyFill="1" applyAlignment="1">
      <alignment vertical="bottom"/>
    </xf>
    <xf numFmtId="0" fontId="23" fillId="4" borderId="7" xfId="0" applyFont="1" applyFill="1" applyBorder="1" applyAlignment="1">
      <alignment horizontal="right" vertical="bottom"/>
    </xf>
    <xf numFmtId="166" fontId="9" fillId="4" borderId="32" xfId="0" applyNumberFormat="1" applyFont="1" applyFill="1" applyBorder="1" applyAlignment="1">
      <alignment horizontal="center" vertical="bottom"/>
    </xf>
    <xf numFmtId="0" fontId="13" fillId="4" borderId="32" xfId="0" applyFont="1" applyFill="1" applyBorder="1" applyAlignment="1">
      <alignment vertical="bottom"/>
    </xf>
    <xf numFmtId="0" fontId="10" fillId="4" borderId="34" xfId="0" applyFont="1" applyFill="1" applyBorder="1" applyAlignment="1">
      <alignment vertical="bottom"/>
    </xf>
    <xf numFmtId="0" fontId="20" fillId="0" borderId="0" xfId="0" applyFont="1" applyAlignment="1">
      <alignment horizontal="right" vertical="bottom"/>
    </xf>
    <xf numFmtId="0" fontId="10" fillId="4" borderId="32" xfId="0" applyFont="1" applyFill="1" applyBorder="1" applyAlignment="1">
      <alignment vertical="bottom"/>
    </xf>
    <xf numFmtId="0" fontId="10" fillId="4" borderId="1" xfId="0" applyFont="1" applyFill="1" applyBorder="1" applyAlignment="1">
      <alignment vertical="bottom"/>
    </xf>
    <xf numFmtId="0" fontId="10" fillId="4" borderId="37" xfId="0" applyFont="1" applyFill="1" applyBorder="1" applyAlignment="1">
      <alignment vertical="bottom"/>
    </xf>
    <xf numFmtId="166" fontId="10" fillId="4" borderId="9" xfId="0" applyNumberFormat="1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-393120</xdr:colOff>
      <xdr:row>10</xdr:row>
      <xdr:rowOff>66600</xdr:rowOff>
    </xdr:from>
    <xdr:to>
      <xdr:col>6</xdr:col>
      <xdr:colOff>-130680</xdr:colOff>
      <xdr:row>13</xdr:row>
      <xdr:rowOff>133560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7"/>
  <sheetViews>
    <sheetView workbookViewId="0" zoomScale="100" zoomScaleNormal="100" view="normal">
      <selection activeCell="A1" sqref="A1"/>
    </sheetView>
  </sheetViews>
  <sheetFormatPr defaultRowHeight="12.75" outlineLevelRow="0" outlineLevelCol="0" x14ac:dyDescent="0" defaultColWidth="9.13671875" customHeight="1"/>
  <cols>
    <col min="1" max="1" width="2.7" style="1" customWidth="1"/>
    <col min="2" max="2" width="8.56" style="1" customWidth="1"/>
    <col min="3" max="3" width="9.7" style="1" customWidth="1"/>
    <col min="4" max="4" width="11.99" style="1" customWidth="1"/>
    <col min="5" max="5" width="9.7" style="1" customWidth="1"/>
    <col min="6" max="6" width="5.28" style="1" customWidth="1"/>
    <col min="7" max="7" width="10.56" style="1" customWidth="1"/>
    <col min="8" max="8" width="8.85" style="1" customWidth="1"/>
    <col min="9" max="9" width="10.99" style="1" customWidth="1"/>
    <col min="10" max="10" width="8.41" style="1" customWidth="1"/>
    <col min="11" max="11" width="9.85" style="1" hidden="1" customWidth="1"/>
    <col min="12" max="12" width="9.7" style="1" hidden="1" customWidth="1"/>
    <col min="13" max="13" width="5.85" style="1" customWidth="1"/>
    <col min="14" max="14" width="5.28" style="1" customWidth="1"/>
    <col min="15" max="15" width="7.28" style="1" customWidth="1"/>
    <col min="16" max="16" width="7.56" style="1" hidden="1" customWidth="1"/>
    <col min="17" max="17" width="7.56" style="1" customWidth="1"/>
    <col min="18" max="18" width="7.99" style="1" customWidth="1"/>
    <col min="19" max="19" width="7.56" style="1" customWidth="1"/>
    <col min="20" max="22" width="9.06" style="1" hidden="1" customWidth="1"/>
    <col min="23" max="23" width="10.28" style="1" hidden="1" customWidth="1"/>
    <col min="24" max="24" width="9.06" style="1" hidden="1" customWidth="1"/>
    <col min="25" max="25" width="13.85" style="1" customWidth="1"/>
    <col min="26" max="26" width="2.7" style="1" customWidth="1"/>
    <col min="27" max="28" width="9.14" style="1" customWidth="1"/>
    <col min="29" max="29" width="9.06" style="1" hidden="1" customWidth="1"/>
    <col min="30" max="257" width="9.14" style="1" customWidth="1"/>
  </cols>
  <sheetData>
    <row r="1" ht="18.75" customHeight="1" spans="1:257" x14ac:dyDescent="0.25">
      <c r="A1" s="2"/>
      <c r="B1" s="3" t="s">
        <v>0</v>
      </c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ht="13.5" customHeight="1" spans="1:25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</row>
    <row r="3" ht="14.25" customHeight="1" spans="1:257" x14ac:dyDescent="0.25">
      <c r="A3" s="2"/>
      <c r="B3" s="6" t="s">
        <v>1</v>
      </c>
      <c r="C3" s="6"/>
      <c r="D3" s="7">
        <v>13</v>
      </c>
      <c r="E3" s="7"/>
      <c r="F3" s="7"/>
      <c r="G3" s="8" t="s">
        <v>2</v>
      </c>
      <c r="H3" s="7" t="s">
        <v>3</v>
      </c>
      <c r="I3" s="7"/>
      <c r="J3" s="7"/>
      <c r="K3" s="7"/>
      <c r="L3" s="7"/>
      <c r="M3" s="7"/>
      <c r="N3" s="9"/>
      <c r="O3" s="9"/>
      <c r="P3" s="10"/>
      <c r="Q3" s="10"/>
      <c r="R3" s="11"/>
      <c r="S3" s="10"/>
      <c r="T3" s="12"/>
      <c r="U3" s="13"/>
      <c r="V3" s="12"/>
      <c r="W3" s="12"/>
      <c r="X3" s="12"/>
      <c r="Y3" s="14"/>
      <c r="Z3" s="15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</row>
    <row r="4" ht="14.25" customHeight="1" spans="1:257" x14ac:dyDescent="0.25">
      <c r="A4" s="2"/>
      <c r="B4" s="16" t="s">
        <v>4</v>
      </c>
      <c r="C4" s="16"/>
      <c r="D4" s="17" t="s">
        <v>5</v>
      </c>
      <c r="E4" s="17"/>
      <c r="F4" s="17"/>
      <c r="G4" s="18" t="s">
        <v>6</v>
      </c>
      <c r="H4" s="17" t="s">
        <v>7</v>
      </c>
      <c r="I4" s="17"/>
      <c r="J4" s="17"/>
      <c r="K4" s="17"/>
      <c r="L4" s="17"/>
      <c r="M4" s="17"/>
      <c r="N4" s="19" t="s">
        <v>8</v>
      </c>
      <c r="O4" s="19"/>
      <c r="P4" s="19"/>
      <c r="Q4" s="19"/>
      <c r="R4" s="20">
        <v>43148</v>
      </c>
      <c r="S4" s="20"/>
      <c r="T4" s="21"/>
      <c r="U4" s="21"/>
      <c r="V4" s="22"/>
      <c r="W4" s="22"/>
      <c r="X4" s="22"/>
      <c r="Y4" s="23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</row>
    <row r="5" ht="14.25" customHeight="1" spans="1:257" x14ac:dyDescent="0.25">
      <c r="A5" s="2"/>
      <c r="B5" s="24" t="s">
        <v>9</v>
      </c>
      <c r="C5" s="24"/>
      <c r="D5" s="24"/>
      <c r="E5" s="24"/>
      <c r="F5" s="24"/>
      <c r="G5" s="24"/>
      <c r="H5" s="24"/>
      <c r="I5" s="25">
        <v>6</v>
      </c>
      <c r="J5" s="26" t="s">
        <v>10</v>
      </c>
      <c r="K5" s="26"/>
      <c r="L5" s="26"/>
      <c r="M5" s="27" t="s">
        <v>11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</row>
    <row r="6" ht="13.5" customHeight="1" hidden="1" spans="1:25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ht="14.25" customHeight="1" hidden="1" spans="2:25" x14ac:dyDescent="0.25">
      <c r="B7" s="28" t="s">
        <v>12</v>
      </c>
      <c r="C7" s="28"/>
      <c r="D7" s="28"/>
      <c r="E7" s="29">
        <v>1</v>
      </c>
      <c r="F7" s="29"/>
      <c r="G7" s="30" t="s">
        <v>13</v>
      </c>
      <c r="H7" s="29">
        <f>I5</f>
        <v>6</v>
      </c>
      <c r="I7" s="31" t="s">
        <v>14</v>
      </c>
      <c r="J7" s="29"/>
      <c r="K7" s="32"/>
      <c r="L7" s="32"/>
      <c r="M7" s="33" t="s">
        <v>15</v>
      </c>
      <c r="N7" s="33"/>
      <c r="O7" s="29"/>
      <c r="P7" s="29"/>
      <c r="Q7" s="34"/>
      <c r="R7" s="33" t="s">
        <v>16</v>
      </c>
      <c r="S7" s="33"/>
      <c r="T7" s="32"/>
      <c r="U7" s="32"/>
      <c r="V7" s="32"/>
      <c r="W7" s="32"/>
      <c r="X7" s="32"/>
      <c r="Y7" s="35">
        <f>O7*J7</f>
        <v>0</v>
      </c>
    </row>
    <row r="8" ht="14.25" customHeight="1" spans="2:25" x14ac:dyDescent="0.25">
      <c r="B8" s="36"/>
      <c r="C8" s="37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ht="14.25" customHeight="1" spans="2:25" x14ac:dyDescent="0.25">
      <c r="B9" s="39" t="s">
        <v>17</v>
      </c>
      <c r="C9" s="37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ht="12.75" customHeight="1" spans="1:257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 t="s">
        <v>18</v>
      </c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</row>
    <row r="11" ht="15.75" customHeight="1" spans="1:257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40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</row>
    <row r="12" ht="15.75" customHeight="1" spans="1:257" x14ac:dyDescent="0.25">
      <c r="A12" s="38"/>
      <c r="B12" s="38"/>
      <c r="C12" s="38"/>
      <c r="D12" s="38"/>
      <c r="E12" s="38"/>
      <c r="F12" s="38"/>
      <c r="G12" s="38"/>
      <c r="H12" s="41" t="s">
        <v>19</v>
      </c>
      <c r="I12" s="38"/>
      <c r="J12" s="38"/>
      <c r="K12" s="38"/>
      <c r="L12" s="38"/>
      <c r="M12" s="38"/>
      <c r="N12" s="38"/>
      <c r="O12" s="38"/>
      <c r="P12" s="40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</row>
    <row r="13" ht="15.75" customHeight="1" spans="1:257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40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</row>
    <row r="14" ht="15.75" customHeight="1" spans="1:257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40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</row>
    <row r="15" ht="15.75" customHeight="1" spans="1:257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40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</row>
    <row r="16" ht="18.75" customHeight="1" spans="1:257" x14ac:dyDescent="0.25">
      <c r="A16" s="38"/>
      <c r="B16" s="39" t="s">
        <v>20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40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</row>
    <row r="17" ht="15.75" customHeight="1" spans="1:257" x14ac:dyDescent="0.2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40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</row>
    <row r="18" ht="15.75" customHeight="1" spans="1:257" x14ac:dyDescent="0.2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 t="s">
        <v>21</v>
      </c>
      <c r="P18" s="40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</row>
    <row r="19" ht="15.75" customHeight="1" spans="1:257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40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</row>
    <row r="20" ht="15.75" customHeight="1" spans="1:257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40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</row>
    <row r="21" ht="15.75" customHeight="1" spans="1:257" x14ac:dyDescent="0.25">
      <c r="A21" s="38"/>
      <c r="B21" s="38"/>
      <c r="C21" s="38"/>
      <c r="D21" s="38" t="s">
        <v>22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40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</row>
    <row r="22" ht="16.5" customHeight="1" spans="1:257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40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</row>
    <row r="23" ht="25.5" customHeight="1" spans="1:257" x14ac:dyDescent="0.25">
      <c r="A23" s="38"/>
      <c r="B23" s="42" t="s">
        <v>23</v>
      </c>
      <c r="C23" s="43" t="s">
        <v>24</v>
      </c>
      <c r="D23" s="43" t="s">
        <v>25</v>
      </c>
      <c r="E23" s="43"/>
      <c r="F23" s="44" t="s">
        <v>26</v>
      </c>
      <c r="G23" s="44"/>
      <c r="H23" s="45"/>
      <c r="I23" s="45"/>
      <c r="J23" s="38"/>
      <c r="K23" s="40" t="s">
        <v>18</v>
      </c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</row>
    <row r="24" ht="15.75" customHeight="1" spans="1:257" x14ac:dyDescent="0.25">
      <c r="A24" s="38"/>
      <c r="B24" s="46">
        <v>1</v>
      </c>
      <c r="C24" s="47">
        <v>128</v>
      </c>
      <c r="D24" s="48">
        <v>1.7</v>
      </c>
      <c r="E24" s="48"/>
      <c r="F24" s="49">
        <v>2</v>
      </c>
      <c r="G24" s="49"/>
      <c r="H24" s="45"/>
      <c r="I24" s="45"/>
      <c r="J24" s="38"/>
      <c r="K24" s="40"/>
      <c r="L24" s="38"/>
      <c r="M24" s="38"/>
      <c r="N24" s="38"/>
      <c r="O24" s="38"/>
      <c r="P24" s="38"/>
      <c r="Q24" s="38"/>
      <c r="R24" s="38"/>
      <c r="S24" s="41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</row>
    <row r="25" ht="15.75" customHeight="1" spans="1:257" x14ac:dyDescent="0.25">
      <c r="A25" s="38"/>
      <c r="B25" s="46">
        <v>2</v>
      </c>
      <c r="C25" s="47">
        <v>131</v>
      </c>
      <c r="D25" s="48">
        <v>1.8</v>
      </c>
      <c r="E25" s="48"/>
      <c r="F25" s="49">
        <v>2</v>
      </c>
      <c r="G25" s="49"/>
      <c r="H25" s="45"/>
      <c r="I25" s="45"/>
      <c r="J25" s="38"/>
      <c r="K25" s="40"/>
      <c r="L25" s="38"/>
      <c r="M25" s="38"/>
      <c r="N25" s="38"/>
      <c r="O25" s="38"/>
      <c r="P25" s="38"/>
      <c r="Q25" s="38"/>
      <c r="R25" s="38"/>
      <c r="S25" s="41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</row>
    <row r="26" ht="12.75" customHeight="1" spans="1:257" x14ac:dyDescent="0.25">
      <c r="A26" s="38"/>
      <c r="B26" s="46">
        <v>3</v>
      </c>
      <c r="C26" s="47">
        <v>122</v>
      </c>
      <c r="D26" s="48">
        <v>1.9</v>
      </c>
      <c r="E26" s="48"/>
      <c r="F26" s="49">
        <v>2</v>
      </c>
      <c r="G26" s="49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</row>
    <row r="27" ht="12.75" customHeight="1" spans="1:257" x14ac:dyDescent="0.25">
      <c r="A27" s="38"/>
      <c r="B27" s="46">
        <v>4</v>
      </c>
      <c r="C27" s="47">
        <v>111</v>
      </c>
      <c r="D27" s="48">
        <v>2.1</v>
      </c>
      <c r="E27" s="48"/>
      <c r="F27" s="50">
        <v>3.3</v>
      </c>
      <c r="G27" s="50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</row>
    <row r="28" ht="12.75" customHeight="1" spans="1:257" x14ac:dyDescent="0.25">
      <c r="A28" s="38"/>
      <c r="B28" s="46">
        <v>5</v>
      </c>
      <c r="C28" s="47">
        <v>106</v>
      </c>
      <c r="D28" s="48">
        <v>1.9</v>
      </c>
      <c r="E28" s="48"/>
      <c r="F28" s="49">
        <v>2.1</v>
      </c>
      <c r="G28" s="4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</row>
    <row r="29" ht="13.5" customHeight="1" spans="1:257" x14ac:dyDescent="0.25">
      <c r="A29" s="38"/>
      <c r="B29" s="46">
        <v>6</v>
      </c>
      <c r="C29" s="51">
        <v>99</v>
      </c>
      <c r="D29" s="52">
        <v>1.8</v>
      </c>
      <c r="E29" s="52"/>
      <c r="F29" s="53">
        <v>2</v>
      </c>
      <c r="G29" s="53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</row>
    <row r="30" ht="12.75" customHeight="1" spans="1:257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</row>
    <row r="31" ht="12.75" customHeight="1" spans="1:257" x14ac:dyDescent="0.25">
      <c r="A31" s="38"/>
      <c r="B31" s="54"/>
      <c r="C31" s="55" t="s">
        <v>27</v>
      </c>
      <c r="D31" s="56">
        <f>(D24*C24+D25*C25+D26*C26+D27*C27+D28*C28+D29*C29)/SUM(C24:C29)</f>
        <v>1.86212338593974</v>
      </c>
      <c r="E31" s="57" t="s">
        <v>28</v>
      </c>
      <c r="F31" s="56">
        <f>F27</f>
        <v>3.3</v>
      </c>
      <c r="G31" s="58" t="s">
        <v>29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</row>
    <row r="32" ht="12.75" customHeight="1" spans="1:257" x14ac:dyDescent="0.25">
      <c r="A32" s="38"/>
      <c r="B32" s="55"/>
      <c r="C32" s="38"/>
      <c r="D32" s="38"/>
      <c r="E32" s="5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  <c r="HO32" s="38"/>
      <c r="HP32" s="38"/>
      <c r="HQ32" s="38"/>
      <c r="HR32" s="38"/>
      <c r="HS32" s="38"/>
      <c r="HT32" s="38"/>
      <c r="HU32" s="38"/>
      <c r="HV32" s="38"/>
      <c r="HW32" s="38"/>
      <c r="HX32" s="38"/>
      <c r="HY32" s="38"/>
      <c r="HZ32" s="38"/>
      <c r="IA32" s="38"/>
      <c r="IB32" s="38"/>
      <c r="IC32" s="38"/>
      <c r="ID32" s="38"/>
      <c r="IE32" s="38"/>
      <c r="IF32" s="38"/>
      <c r="IG32" s="38"/>
      <c r="IH32" s="38"/>
      <c r="II32" s="38"/>
      <c r="IJ32" s="38"/>
      <c r="IK32" s="38"/>
      <c r="IL32" s="38"/>
      <c r="IM32" s="38"/>
      <c r="IN32" s="38"/>
      <c r="IO32" s="38"/>
      <c r="IP32" s="38"/>
      <c r="IQ32" s="38"/>
      <c r="IR32" s="38"/>
      <c r="IS32" s="38"/>
      <c r="IT32" s="38"/>
      <c r="IU32" s="38"/>
      <c r="IV32" s="38"/>
      <c r="IW32" s="38"/>
    </row>
    <row r="33" ht="15.75" customHeight="1" spans="1:257" x14ac:dyDescent="0.25">
      <c r="A33" s="38"/>
      <c r="B33" s="59" t="s">
        <v>30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38"/>
      <c r="HZ33" s="38"/>
      <c r="IA33" s="38"/>
      <c r="IB33" s="38"/>
      <c r="IC33" s="38"/>
      <c r="ID33" s="38"/>
      <c r="IE33" s="38"/>
      <c r="IF33" s="38"/>
      <c r="IG33" s="38"/>
      <c r="IH33" s="38"/>
      <c r="II33" s="38"/>
      <c r="IJ33" s="38"/>
      <c r="IK33" s="38"/>
      <c r="IL33" s="38"/>
      <c r="IM33" s="38"/>
      <c r="IN33" s="38"/>
      <c r="IO33" s="38"/>
      <c r="IP33" s="38"/>
      <c r="IQ33" s="38"/>
      <c r="IR33" s="38"/>
      <c r="IS33" s="38"/>
      <c r="IT33" s="38"/>
      <c r="IU33" s="38"/>
      <c r="IV33" s="38"/>
      <c r="IW33" s="38"/>
    </row>
    <row r="34" ht="15.75" customHeight="1" spans="1:257" x14ac:dyDescent="0.25">
      <c r="A34" s="38"/>
      <c r="B34" s="59"/>
      <c r="C34" s="38"/>
      <c r="D34" s="38"/>
      <c r="E34" s="38"/>
      <c r="F34" s="38"/>
      <c r="G34" s="38"/>
      <c r="H34" s="38"/>
      <c r="I34" s="38" t="s">
        <v>31</v>
      </c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</row>
    <row r="35" ht="12.75" customHeight="1" spans="1:257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  <c r="HP35" s="38"/>
      <c r="HQ35" s="38"/>
      <c r="HR35" s="38"/>
      <c r="HS35" s="38"/>
      <c r="HT35" s="38"/>
      <c r="HU35" s="38"/>
      <c r="HV35" s="38"/>
      <c r="HW35" s="38"/>
      <c r="HX35" s="38"/>
      <c r="HY35" s="38"/>
      <c r="HZ35" s="38"/>
      <c r="IA35" s="38"/>
      <c r="IB35" s="38"/>
      <c r="IC35" s="38"/>
      <c r="ID35" s="38"/>
      <c r="IE35" s="38"/>
      <c r="IF35" s="38"/>
      <c r="IG35" s="38"/>
      <c r="IH35" s="38"/>
      <c r="II35" s="38"/>
      <c r="IJ35" s="38"/>
      <c r="IK35" s="38"/>
      <c r="IL35" s="38"/>
      <c r="IM35" s="38"/>
      <c r="IN35" s="38"/>
      <c r="IO35" s="38"/>
      <c r="IP35" s="38"/>
      <c r="IQ35" s="38"/>
      <c r="IR35" s="38"/>
      <c r="IS35" s="38"/>
      <c r="IT35" s="38"/>
      <c r="IU35" s="38"/>
      <c r="IV35" s="38"/>
      <c r="IW35" s="38"/>
    </row>
    <row r="36" ht="12.75" customHeight="1" spans="1:257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  <c r="HO36" s="38"/>
      <c r="HP36" s="38"/>
      <c r="HQ36" s="38"/>
      <c r="HR36" s="38"/>
      <c r="HS36" s="38"/>
      <c r="HT36" s="38"/>
      <c r="HU36" s="38"/>
      <c r="HV36" s="38"/>
      <c r="HW36" s="38"/>
      <c r="HX36" s="38"/>
      <c r="HY36" s="38"/>
      <c r="HZ36" s="38"/>
      <c r="IA36" s="38"/>
      <c r="IB36" s="38"/>
      <c r="IC36" s="38"/>
      <c r="ID36" s="38"/>
      <c r="IE36" s="38"/>
      <c r="IF36" s="38"/>
      <c r="IG36" s="38"/>
      <c r="IH36" s="38"/>
      <c r="II36" s="38"/>
      <c r="IJ36" s="38"/>
      <c r="IK36" s="38"/>
      <c r="IL36" s="38"/>
      <c r="IM36" s="38"/>
      <c r="IN36" s="38"/>
      <c r="IO36" s="38"/>
      <c r="IP36" s="38"/>
      <c r="IQ36" s="38"/>
      <c r="IR36" s="38"/>
      <c r="IS36" s="38"/>
      <c r="IT36" s="38"/>
      <c r="IU36" s="38"/>
      <c r="IV36" s="38"/>
      <c r="IW36" s="38"/>
    </row>
    <row r="37" ht="12.75" customHeight="1" spans="1:257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  <c r="HY37" s="38"/>
      <c r="HZ37" s="38"/>
      <c r="IA37" s="38"/>
      <c r="IB37" s="38"/>
      <c r="IC37" s="38"/>
      <c r="ID37" s="38"/>
      <c r="IE37" s="38"/>
      <c r="IF37" s="38"/>
      <c r="IG37" s="38"/>
      <c r="IH37" s="38"/>
      <c r="II37" s="38"/>
      <c r="IJ37" s="38"/>
      <c r="IK37" s="38"/>
      <c r="IL37" s="38"/>
      <c r="IM37" s="38"/>
      <c r="IN37" s="38"/>
      <c r="IO37" s="38"/>
      <c r="IP37" s="38"/>
      <c r="IQ37" s="38"/>
      <c r="IR37" s="38"/>
      <c r="IS37" s="38"/>
      <c r="IT37" s="38"/>
      <c r="IU37" s="38"/>
      <c r="IV37" s="38"/>
      <c r="IW37" s="38"/>
    </row>
    <row r="38" ht="12.75" customHeight="1" spans="1:257" x14ac:dyDescent="0.25">
      <c r="A38" s="38"/>
      <c r="B38" s="38"/>
      <c r="C38" s="38"/>
      <c r="D38" s="38"/>
      <c r="E38" s="38"/>
      <c r="F38" s="38"/>
      <c r="G38" s="38"/>
      <c r="H38" s="38"/>
      <c r="I38" s="38" t="s">
        <v>32</v>
      </c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38"/>
      <c r="HZ38" s="38"/>
      <c r="IA38" s="38"/>
      <c r="IB38" s="38"/>
      <c r="IC38" s="38"/>
      <c r="ID38" s="38"/>
      <c r="IE38" s="38"/>
      <c r="IF38" s="38"/>
      <c r="IG38" s="38"/>
      <c r="IH38" s="38"/>
      <c r="II38" s="38"/>
      <c r="IJ38" s="38"/>
      <c r="IK38" s="38"/>
      <c r="IL38" s="38"/>
      <c r="IM38" s="38"/>
      <c r="IN38" s="38"/>
      <c r="IO38" s="38"/>
      <c r="IP38" s="38"/>
      <c r="IQ38" s="38"/>
      <c r="IR38" s="38"/>
      <c r="IS38" s="38"/>
      <c r="IT38" s="38"/>
      <c r="IU38" s="38"/>
      <c r="IV38" s="38"/>
      <c r="IW38" s="38"/>
    </row>
    <row r="39" ht="13.5" customHeight="1" spans="1:257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  <c r="HO39" s="38"/>
      <c r="HP39" s="38"/>
      <c r="HQ39" s="38"/>
      <c r="HR39" s="38"/>
      <c r="HS39" s="38"/>
      <c r="HT39" s="38"/>
      <c r="HU39" s="38"/>
      <c r="HV39" s="38"/>
      <c r="HW39" s="38"/>
      <c r="HX39" s="38"/>
      <c r="HY39" s="38"/>
      <c r="HZ39" s="38"/>
      <c r="IA39" s="38"/>
      <c r="IB39" s="38"/>
      <c r="IC39" s="38"/>
      <c r="ID39" s="38"/>
      <c r="IE39" s="38"/>
      <c r="IF39" s="38"/>
      <c r="IG39" s="38"/>
      <c r="IH39" s="38"/>
      <c r="II39" s="38"/>
      <c r="IJ39" s="38"/>
      <c r="IK39" s="38"/>
      <c r="IL39" s="38"/>
      <c r="IM39" s="38"/>
      <c r="IN39" s="38"/>
      <c r="IO39" s="38"/>
      <c r="IP39" s="38"/>
      <c r="IQ39" s="38"/>
      <c r="IR39" s="38"/>
      <c r="IS39" s="38"/>
      <c r="IT39" s="38"/>
      <c r="IU39" s="38"/>
      <c r="IV39" s="38"/>
      <c r="IW39" s="38"/>
    </row>
    <row r="40" ht="18.75" customHeight="1" spans="1:257" x14ac:dyDescent="0.25">
      <c r="A40" s="38"/>
      <c r="B40" s="38"/>
      <c r="C40" s="38"/>
      <c r="D40" s="60">
        <f>100-(2*((D31*D31)+(6.5*D31)-7.5))</f>
        <v>83.857388973856</v>
      </c>
      <c r="E40" s="38"/>
      <c r="F40" s="61" t="s">
        <v>33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41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  <c r="HP40" s="38"/>
      <c r="HQ40" s="38"/>
      <c r="HR40" s="38"/>
      <c r="HS40" s="38"/>
      <c r="HT40" s="38"/>
      <c r="HU40" s="38"/>
      <c r="HV40" s="38"/>
      <c r="HW40" s="38"/>
      <c r="HX40" s="38"/>
      <c r="HY40" s="38"/>
      <c r="HZ40" s="38"/>
      <c r="IA40" s="38"/>
      <c r="IB40" s="38"/>
      <c r="IC40" s="38"/>
      <c r="ID40" s="38"/>
      <c r="IE40" s="38"/>
      <c r="IF40" s="38"/>
      <c r="IG40" s="38"/>
      <c r="IH40" s="38"/>
      <c r="II40" s="38"/>
      <c r="IJ40" s="38"/>
      <c r="IK40" s="38"/>
      <c r="IL40" s="38"/>
      <c r="IM40" s="38"/>
      <c r="IN40" s="38"/>
      <c r="IO40" s="38"/>
      <c r="IP40" s="38"/>
      <c r="IQ40" s="38"/>
      <c r="IR40" s="38"/>
      <c r="IS40" s="38"/>
      <c r="IT40" s="38"/>
      <c r="IU40" s="38"/>
      <c r="IV40" s="38"/>
      <c r="IW40" s="38"/>
    </row>
    <row r="41" ht="15.75" customHeight="1" spans="1:257" x14ac:dyDescent="0.25">
      <c r="A41" s="38"/>
      <c r="B41" s="38"/>
      <c r="C41" s="38"/>
      <c r="D41" s="38"/>
      <c r="E41" s="38"/>
      <c r="F41" s="38"/>
      <c r="G41" s="38"/>
      <c r="H41" s="38"/>
      <c r="I41" s="41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</row>
    <row r="42" ht="18.75" customHeight="1" spans="1:257" x14ac:dyDescent="0.25">
      <c r="A42" s="38"/>
      <c r="B42" s="38"/>
      <c r="C42" s="38"/>
      <c r="D42" s="60">
        <f>100-(2*((F31*F31)+(6.5*F31)-7.5))</f>
        <v>50.32</v>
      </c>
      <c r="E42" s="38"/>
      <c r="F42" s="61" t="s">
        <v>34</v>
      </c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  <c r="HP42" s="38"/>
      <c r="HQ42" s="38"/>
      <c r="HR42" s="38"/>
      <c r="HS42" s="38"/>
      <c r="HT42" s="38"/>
      <c r="HU42" s="38"/>
      <c r="HV42" s="38"/>
      <c r="HW42" s="38"/>
      <c r="HX42" s="38"/>
      <c r="HY42" s="38"/>
      <c r="HZ42" s="38"/>
      <c r="IA42" s="38"/>
      <c r="IB42" s="38"/>
      <c r="IC42" s="38"/>
      <c r="ID42" s="38"/>
      <c r="IE42" s="38"/>
      <c r="IF42" s="38"/>
      <c r="IG42" s="38"/>
      <c r="IH42" s="38"/>
      <c r="II42" s="38"/>
      <c r="IJ42" s="38"/>
      <c r="IK42" s="38"/>
      <c r="IL42" s="38"/>
      <c r="IM42" s="38"/>
      <c r="IN42" s="38"/>
      <c r="IO42" s="38"/>
      <c r="IP42" s="38"/>
      <c r="IQ42" s="38"/>
      <c r="IR42" s="38"/>
      <c r="IS42" s="38"/>
      <c r="IT42" s="38"/>
      <c r="IU42" s="38"/>
      <c r="IV42" s="38"/>
      <c r="IW42" s="38"/>
    </row>
    <row r="43" ht="12.75" customHeight="1" spans="1:257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  <c r="HO43" s="38"/>
      <c r="HP43" s="38"/>
      <c r="HQ43" s="38"/>
      <c r="HR43" s="38"/>
      <c r="HS43" s="38"/>
      <c r="HT43" s="38"/>
      <c r="HU43" s="38"/>
      <c r="HV43" s="38"/>
      <c r="HW43" s="38"/>
      <c r="HX43" s="38"/>
      <c r="HY43" s="38"/>
      <c r="HZ43" s="38"/>
      <c r="IA43" s="38"/>
      <c r="IB43" s="38"/>
      <c r="IC43" s="38"/>
      <c r="ID43" s="38"/>
      <c r="IE43" s="38"/>
      <c r="IF43" s="38"/>
      <c r="IG43" s="38"/>
      <c r="IH43" s="38"/>
      <c r="II43" s="38"/>
      <c r="IJ43" s="38"/>
      <c r="IK43" s="38"/>
      <c r="IL43" s="38"/>
      <c r="IM43" s="38"/>
      <c r="IN43" s="38"/>
      <c r="IO43" s="38"/>
      <c r="IP43" s="38"/>
      <c r="IQ43" s="38"/>
      <c r="IR43" s="38"/>
      <c r="IS43" s="38"/>
      <c r="IT43" s="38"/>
      <c r="IU43" s="38"/>
      <c r="IV43" s="38"/>
      <c r="IW43" s="38"/>
    </row>
    <row r="44" ht="12.75" customHeight="1" spans="3:20" x14ac:dyDescent="0.25">
      <c r="C44" s="62"/>
      <c r="D44" s="1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4"/>
    </row>
    <row r="45" ht="12.75" customHeight="1" spans="3:20" x14ac:dyDescent="0.25">
      <c r="C45" s="62"/>
      <c r="D45" s="1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4"/>
    </row>
    <row r="46" ht="12.75" customHeight="1" spans="3:20" x14ac:dyDescent="0.25">
      <c r="C46" s="62"/>
      <c r="D46" s="1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4"/>
    </row>
    <row r="47" ht="12.75" customHeight="1" spans="3:20" x14ac:dyDescent="0.25">
      <c r="C47" s="62"/>
      <c r="D47" s="1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4"/>
    </row>
  </sheetData>
  <mergeCells count="30">
    <mergeCell ref="B3:C3"/>
    <mergeCell ref="D3:F3"/>
    <mergeCell ref="H3:M3"/>
    <mergeCell ref="N3:O3"/>
    <mergeCell ref="B4:C4"/>
    <mergeCell ref="D4:F4"/>
    <mergeCell ref="H4:M4"/>
    <mergeCell ref="N4:Q4"/>
    <mergeCell ref="R4:S4"/>
    <mergeCell ref="B5:H5"/>
    <mergeCell ref="M5:Y5"/>
    <mergeCell ref="B7:D7"/>
    <mergeCell ref="E7:F7"/>
    <mergeCell ref="M7:N7"/>
    <mergeCell ref="O7:P7"/>
    <mergeCell ref="R7:S7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</mergeCells>
  <pageMargins left="0.708333333333333" right="0.708333333333333" top="0.748611111111111" bottom="0.748611111111111" header="0.315277777777778" footer="0.315277777777778"/>
  <pageSetup paperSize="9" orientation="portrait" horizontalDpi="300" verticalDpi="300" scale="100" fitToWidth="1" fitToHeight="0" firstPageNumber="1" useFirstPageNumber="1" copies="1"/>
  <headerFooter>
    <oddHeader>&amp;L&amp;D</oddHead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4"/>
  <sheetViews>
    <sheetView workbookViewId="0" zoomScale="100" zoomScaleNormal="100" view="pageBreakPreview">
      <selection activeCell="H44" sqref="H44"/>
    </sheetView>
  </sheetViews>
  <sheetFormatPr defaultRowHeight="12.75" outlineLevelRow="0" outlineLevelCol="0" x14ac:dyDescent="0" defaultColWidth="9.13671875" customHeight="1"/>
  <cols>
    <col min="1" max="1" width="2.7" style="65" customWidth="1"/>
    <col min="2" max="2" width="8.56" style="65" customWidth="1"/>
    <col min="3" max="3" width="9.7" style="65" customWidth="1"/>
    <col min="4" max="4" width="11.99" style="65" customWidth="1"/>
    <col min="5" max="5" width="9.7" style="65" customWidth="1"/>
    <col min="6" max="6" width="5.28" style="65" customWidth="1"/>
    <col min="7" max="7" width="10.56" style="65" customWidth="1"/>
    <col min="8" max="8" width="8.85" style="65" customWidth="1"/>
    <col min="9" max="9" width="10.99" style="65" customWidth="1"/>
    <col min="10" max="10" width="8.41" style="65" customWidth="1"/>
    <col min="11" max="11" width="9.85" style="65" hidden="1" customWidth="1"/>
    <col min="12" max="12" width="9.7" style="65" hidden="1" customWidth="1"/>
    <col min="13" max="13" width="5.85" style="65" customWidth="1"/>
    <col min="14" max="14" width="5.28" style="65" customWidth="1"/>
    <col min="15" max="15" width="7.28" style="65" customWidth="1"/>
    <col min="16" max="16" width="7.56" style="65" hidden="1" customWidth="1"/>
    <col min="17" max="17" width="7.56" style="65" customWidth="1"/>
    <col min="18" max="18" width="7.99" style="65" customWidth="1"/>
    <col min="19" max="19" width="7.56" style="65" customWidth="1"/>
    <col min="20" max="22" width="9.06" style="65" hidden="1" customWidth="1"/>
    <col min="23" max="23" width="10.28" style="65" hidden="1" customWidth="1"/>
    <col min="24" max="24" width="9.06" style="65" hidden="1" customWidth="1"/>
    <col min="25" max="25" width="13.85" style="65" customWidth="1"/>
    <col min="26" max="26" width="2.7" style="65" customWidth="1"/>
    <col min="27" max="28" width="9.14" style="65" customWidth="1"/>
    <col min="29" max="29" width="9.06" style="65" hidden="1" customWidth="1"/>
    <col min="30" max="257" width="9.14" style="65" customWidth="1"/>
  </cols>
  <sheetData>
    <row r="1" ht="18" customHeight="1" spans="1:257" x14ac:dyDescent="0.25">
      <c r="A1" s="66"/>
      <c r="B1" s="67" t="s">
        <v>35</v>
      </c>
      <c r="C1" s="68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</row>
    <row r="2" ht="13.5" customHeight="1" spans="1:257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  <c r="GT2" s="66"/>
      <c r="GU2" s="66"/>
      <c r="GV2" s="66"/>
      <c r="GW2" s="66"/>
      <c r="GX2" s="66"/>
      <c r="GY2" s="66"/>
      <c r="GZ2" s="66"/>
      <c r="HA2" s="66"/>
      <c r="HB2" s="66"/>
      <c r="HC2" s="66"/>
      <c r="HD2" s="66"/>
      <c r="HE2" s="66"/>
      <c r="HF2" s="66"/>
      <c r="HG2" s="66"/>
      <c r="HH2" s="66"/>
      <c r="HI2" s="66"/>
      <c r="HJ2" s="66"/>
      <c r="HK2" s="66"/>
      <c r="HL2" s="66"/>
      <c r="HM2" s="66"/>
      <c r="HN2" s="66"/>
      <c r="HO2" s="66"/>
      <c r="HP2" s="66"/>
      <c r="HQ2" s="66"/>
      <c r="HR2" s="66"/>
      <c r="HS2" s="66"/>
      <c r="HT2" s="66"/>
      <c r="HU2" s="66"/>
      <c r="HV2" s="66"/>
      <c r="HW2" s="66"/>
      <c r="HX2" s="66"/>
      <c r="HY2" s="66"/>
      <c r="HZ2" s="66"/>
      <c r="IA2" s="66"/>
      <c r="IB2" s="66"/>
      <c r="IC2" s="66"/>
      <c r="ID2" s="66"/>
      <c r="IE2" s="66"/>
      <c r="IF2" s="66"/>
      <c r="IG2" s="66"/>
      <c r="IH2" s="66"/>
      <c r="II2" s="66"/>
      <c r="IJ2" s="66"/>
      <c r="IK2" s="66"/>
      <c r="IL2" s="66"/>
      <c r="IM2" s="66"/>
      <c r="IN2" s="66"/>
      <c r="IO2" s="66"/>
      <c r="IP2" s="66"/>
      <c r="IQ2" s="66"/>
      <c r="IR2" s="66"/>
      <c r="IS2" s="66"/>
      <c r="IT2" s="66"/>
      <c r="IU2" s="66"/>
      <c r="IV2" s="66"/>
      <c r="IW2" s="66"/>
    </row>
    <row r="3" ht="14.25" customHeight="1" spans="1:257" x14ac:dyDescent="0.25">
      <c r="A3" s="66"/>
      <c r="B3" s="70" t="s">
        <v>1</v>
      </c>
      <c r="C3" s="70"/>
      <c r="D3" s="71">
        <v>13</v>
      </c>
      <c r="E3" s="71"/>
      <c r="F3" s="71"/>
      <c r="G3" s="72" t="s">
        <v>2</v>
      </c>
      <c r="H3" s="73" t="s">
        <v>3</v>
      </c>
      <c r="I3" s="73"/>
      <c r="J3" s="73"/>
      <c r="K3" s="73"/>
      <c r="L3" s="73"/>
      <c r="M3" s="73"/>
      <c r="N3" s="74"/>
      <c r="O3" s="74"/>
      <c r="P3" s="75"/>
      <c r="Q3" s="75"/>
      <c r="R3" s="76"/>
      <c r="S3" s="75"/>
      <c r="T3" s="77"/>
      <c r="U3" s="78"/>
      <c r="V3" s="79"/>
      <c r="W3" s="79"/>
      <c r="X3" s="79"/>
      <c r="Y3" s="80"/>
      <c r="Z3" s="81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/>
      <c r="FG3" s="66"/>
      <c r="FH3" s="66"/>
      <c r="FI3" s="66"/>
      <c r="FJ3" s="66"/>
      <c r="FK3" s="66"/>
      <c r="FL3" s="66"/>
      <c r="FM3" s="66"/>
      <c r="FN3" s="66"/>
      <c r="FO3" s="66"/>
      <c r="FP3" s="66"/>
      <c r="FQ3" s="66"/>
      <c r="FR3" s="66"/>
      <c r="FS3" s="66"/>
      <c r="FT3" s="6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6"/>
      <c r="GL3" s="66"/>
      <c r="GM3" s="66"/>
      <c r="GN3" s="66"/>
      <c r="GO3" s="66"/>
      <c r="GP3" s="66"/>
      <c r="GQ3" s="66"/>
      <c r="GR3" s="66"/>
      <c r="GS3" s="66"/>
      <c r="GT3" s="66"/>
      <c r="GU3" s="66"/>
      <c r="GV3" s="66"/>
      <c r="GW3" s="66"/>
      <c r="GX3" s="66"/>
      <c r="GY3" s="66"/>
      <c r="GZ3" s="66"/>
      <c r="HA3" s="66"/>
      <c r="HB3" s="66"/>
      <c r="HC3" s="66"/>
      <c r="HD3" s="66"/>
      <c r="HE3" s="66"/>
      <c r="HF3" s="66"/>
      <c r="HG3" s="66"/>
      <c r="HH3" s="66"/>
      <c r="HI3" s="66"/>
      <c r="HJ3" s="66"/>
      <c r="HK3" s="66"/>
      <c r="HL3" s="66"/>
      <c r="HM3" s="66"/>
      <c r="HN3" s="66"/>
      <c r="HO3" s="66"/>
      <c r="HP3" s="66"/>
      <c r="HQ3" s="66"/>
      <c r="HR3" s="66"/>
      <c r="HS3" s="66"/>
      <c r="HT3" s="66"/>
      <c r="HU3" s="66"/>
      <c r="HV3" s="66"/>
      <c r="HW3" s="66"/>
      <c r="HX3" s="66"/>
      <c r="HY3" s="66"/>
      <c r="HZ3" s="66"/>
      <c r="IA3" s="66"/>
      <c r="IB3" s="66"/>
      <c r="IC3" s="66"/>
      <c r="ID3" s="66"/>
      <c r="IE3" s="66"/>
      <c r="IF3" s="66"/>
      <c r="IG3" s="66"/>
      <c r="IH3" s="66"/>
      <c r="II3" s="66"/>
      <c r="IJ3" s="66"/>
      <c r="IK3" s="66"/>
      <c r="IL3" s="66"/>
      <c r="IM3" s="66"/>
      <c r="IN3" s="66"/>
      <c r="IO3" s="66"/>
      <c r="IP3" s="66"/>
      <c r="IQ3" s="66"/>
      <c r="IR3" s="66"/>
      <c r="IS3" s="66"/>
      <c r="IT3" s="66"/>
      <c r="IU3" s="66"/>
      <c r="IV3" s="66"/>
      <c r="IW3" s="66"/>
    </row>
    <row r="4" ht="14.25" customHeight="1" spans="1:257" x14ac:dyDescent="0.25">
      <c r="A4" s="66"/>
      <c r="B4" s="82" t="s">
        <v>4</v>
      </c>
      <c r="C4" s="82"/>
      <c r="D4" s="83" t="s">
        <v>5</v>
      </c>
      <c r="E4" s="83"/>
      <c r="F4" s="83"/>
      <c r="G4" s="84" t="s">
        <v>6</v>
      </c>
      <c r="H4" s="17" t="s">
        <v>7</v>
      </c>
      <c r="I4" s="17"/>
      <c r="J4" s="17"/>
      <c r="K4" s="17"/>
      <c r="L4" s="17"/>
      <c r="M4" s="17"/>
      <c r="N4" s="85" t="s">
        <v>8</v>
      </c>
      <c r="O4" s="85"/>
      <c r="P4" s="85"/>
      <c r="Q4" s="85"/>
      <c r="R4" s="86">
        <v>43148</v>
      </c>
      <c r="S4" s="86"/>
      <c r="T4" s="87"/>
      <c r="U4" s="87"/>
      <c r="V4" s="88"/>
      <c r="W4" s="88"/>
      <c r="X4" s="88"/>
      <c r="Y4" s="89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66"/>
      <c r="DZ4" s="66"/>
      <c r="EA4" s="66"/>
      <c r="EB4" s="66"/>
      <c r="EC4" s="66"/>
      <c r="ED4" s="66"/>
      <c r="EE4" s="66"/>
      <c r="EF4" s="66"/>
      <c r="EG4" s="66"/>
      <c r="EH4" s="66"/>
      <c r="EI4" s="66"/>
      <c r="EJ4" s="66"/>
      <c r="EK4" s="66"/>
      <c r="EL4" s="66"/>
      <c r="EM4" s="66"/>
      <c r="EN4" s="66"/>
      <c r="EO4" s="66"/>
      <c r="EP4" s="66"/>
      <c r="EQ4" s="66"/>
      <c r="ER4" s="66"/>
      <c r="ES4" s="66"/>
      <c r="ET4" s="66"/>
      <c r="EU4" s="66"/>
      <c r="EV4" s="66"/>
      <c r="EW4" s="66"/>
      <c r="EX4" s="66"/>
      <c r="EY4" s="66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  <c r="HE4" s="66"/>
      <c r="HF4" s="66"/>
      <c r="HG4" s="66"/>
      <c r="HH4" s="66"/>
      <c r="HI4" s="66"/>
      <c r="HJ4" s="66"/>
      <c r="HK4" s="66"/>
      <c r="HL4" s="66"/>
      <c r="HM4" s="66"/>
      <c r="HN4" s="66"/>
      <c r="HO4" s="66"/>
      <c r="HP4" s="66"/>
      <c r="HQ4" s="66"/>
      <c r="HR4" s="66"/>
      <c r="HS4" s="66"/>
      <c r="HT4" s="66"/>
      <c r="HU4" s="66"/>
      <c r="HV4" s="66"/>
      <c r="HW4" s="66"/>
      <c r="HX4" s="66"/>
      <c r="HY4" s="66"/>
      <c r="HZ4" s="66"/>
      <c r="IA4" s="66"/>
      <c r="IB4" s="66"/>
      <c r="IC4" s="66"/>
      <c r="ID4" s="66"/>
      <c r="IE4" s="66"/>
      <c r="IF4" s="66"/>
      <c r="IG4" s="66"/>
      <c r="IH4" s="66"/>
      <c r="II4" s="66"/>
      <c r="IJ4" s="66"/>
      <c r="IK4" s="66"/>
      <c r="IL4" s="66"/>
      <c r="IM4" s="66"/>
      <c r="IN4" s="66"/>
      <c r="IO4" s="66"/>
      <c r="IP4" s="66"/>
      <c r="IQ4" s="66"/>
      <c r="IR4" s="66"/>
      <c r="IS4" s="66"/>
      <c r="IT4" s="66"/>
      <c r="IU4" s="66"/>
      <c r="IV4" s="66"/>
      <c r="IW4" s="66"/>
    </row>
    <row r="5" ht="14.25" customHeight="1" spans="1:257" x14ac:dyDescent="0.25">
      <c r="A5" s="66"/>
      <c r="B5" s="90" t="s">
        <v>9</v>
      </c>
      <c r="C5" s="90"/>
      <c r="D5" s="90"/>
      <c r="E5" s="90"/>
      <c r="F5" s="90"/>
      <c r="G5" s="90"/>
      <c r="H5" s="90"/>
      <c r="I5" s="91">
        <v>1</v>
      </c>
      <c r="J5" s="92" t="s">
        <v>10</v>
      </c>
      <c r="K5" s="92"/>
      <c r="L5" s="92"/>
      <c r="M5" s="93" t="s">
        <v>36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6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6"/>
      <c r="FM5" s="66"/>
      <c r="FN5" s="66"/>
      <c r="FO5" s="66"/>
      <c r="FP5" s="66"/>
      <c r="FQ5" s="66"/>
      <c r="FR5" s="66"/>
      <c r="FS5" s="66"/>
      <c r="FT5" s="66"/>
      <c r="FU5" s="66"/>
      <c r="FV5" s="66"/>
      <c r="FW5" s="66"/>
      <c r="FX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  <c r="HE5" s="66"/>
      <c r="HF5" s="66"/>
      <c r="HG5" s="66"/>
      <c r="HH5" s="66"/>
      <c r="HI5" s="66"/>
      <c r="HJ5" s="66"/>
      <c r="HK5" s="66"/>
      <c r="HL5" s="66"/>
      <c r="HM5" s="66"/>
      <c r="HN5" s="66"/>
      <c r="HO5" s="66"/>
      <c r="HP5" s="66"/>
      <c r="HQ5" s="66"/>
      <c r="HR5" s="66"/>
      <c r="HS5" s="66"/>
      <c r="HT5" s="66"/>
      <c r="HU5" s="66"/>
      <c r="HV5" s="66"/>
      <c r="HW5" s="66"/>
      <c r="HX5" s="66"/>
      <c r="HY5" s="66"/>
      <c r="HZ5" s="66"/>
      <c r="IA5" s="66"/>
      <c r="IB5" s="66"/>
      <c r="IC5" s="66"/>
      <c r="ID5" s="66"/>
      <c r="IE5" s="66"/>
      <c r="IF5" s="66"/>
      <c r="IG5" s="66"/>
      <c r="IH5" s="66"/>
      <c r="II5" s="66"/>
      <c r="IJ5" s="66"/>
      <c r="IK5" s="66"/>
      <c r="IL5" s="66"/>
      <c r="IM5" s="66"/>
      <c r="IN5" s="66"/>
      <c r="IO5" s="66"/>
      <c r="IP5" s="66"/>
      <c r="IQ5" s="66"/>
      <c r="IR5" s="66"/>
      <c r="IS5" s="66"/>
      <c r="IT5" s="66"/>
      <c r="IU5" s="66"/>
      <c r="IV5" s="66"/>
      <c r="IW5" s="66"/>
    </row>
    <row r="6" ht="13.5" customHeight="1" hidden="1" spans="1:257" x14ac:dyDescent="0.25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</row>
    <row r="7" ht="14.25" customHeight="1" hidden="1" spans="2:25" x14ac:dyDescent="0.25">
      <c r="B7" s="94" t="s">
        <v>12</v>
      </c>
      <c r="C7" s="94"/>
      <c r="D7" s="94"/>
      <c r="E7" s="95">
        <v>1</v>
      </c>
      <c r="F7" s="95"/>
      <c r="G7" s="96" t="s">
        <v>13</v>
      </c>
      <c r="H7" s="95">
        <f>I5</f>
        <v>1</v>
      </c>
      <c r="I7" s="97" t="s">
        <v>14</v>
      </c>
      <c r="J7" s="95"/>
      <c r="K7" s="98"/>
      <c r="L7" s="98"/>
      <c r="M7" s="99" t="s">
        <v>15</v>
      </c>
      <c r="N7" s="99"/>
      <c r="O7" s="95"/>
      <c r="P7" s="95"/>
      <c r="Q7" s="100"/>
      <c r="R7" s="99" t="s">
        <v>16</v>
      </c>
      <c r="S7" s="99"/>
      <c r="T7" s="98"/>
      <c r="U7" s="98"/>
      <c r="V7" s="98"/>
      <c r="W7" s="98"/>
      <c r="X7" s="98"/>
      <c r="Y7" s="101">
        <f>O7*J7</f>
        <v>0</v>
      </c>
    </row>
    <row r="8" ht="14.25" customHeight="1" spans="1:25" x14ac:dyDescent="0.25">
      <c r="A8" s="65"/>
      <c r="B8" s="102"/>
      <c r="C8" s="103"/>
      <c r="D8" s="104"/>
      <c r="E8" s="105"/>
      <c r="F8" s="105"/>
      <c r="G8" s="106"/>
      <c r="H8" s="105"/>
      <c r="I8" s="107"/>
      <c r="J8" s="105"/>
      <c r="K8" s="65"/>
      <c r="L8" s="65"/>
      <c r="M8" s="65"/>
      <c r="N8" s="65"/>
      <c r="O8" s="105"/>
      <c r="P8" s="105"/>
      <c r="Q8" s="105"/>
      <c r="R8" s="65"/>
      <c r="S8" s="65"/>
      <c r="T8" s="65"/>
      <c r="U8" s="65"/>
      <c r="V8" s="65"/>
      <c r="W8" s="65"/>
      <c r="X8" s="65"/>
      <c r="Y8" s="105"/>
    </row>
    <row r="9" ht="16.5" customHeight="1" spans="2:25" x14ac:dyDescent="0.25">
      <c r="B9" s="108" t="s">
        <v>37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</row>
    <row r="10" ht="13.5" customHeight="1" spans="8:8" x14ac:dyDescent="0.25">
      <c r="H10" s="109"/>
    </row>
    <row r="11" ht="38.25" customHeight="1" spans="2:29" x14ac:dyDescent="0.25">
      <c r="B11" s="110" t="s">
        <v>38</v>
      </c>
      <c r="C11" s="111" t="s">
        <v>39</v>
      </c>
      <c r="D11" s="111"/>
      <c r="E11" s="112" t="s">
        <v>40</v>
      </c>
      <c r="F11" s="112" t="s">
        <v>41</v>
      </c>
      <c r="G11" s="112"/>
      <c r="H11" s="113" t="s">
        <v>42</v>
      </c>
      <c r="I11" s="111" t="s">
        <v>43</v>
      </c>
      <c r="J11" s="111" t="s">
        <v>44</v>
      </c>
      <c r="K11" s="114" t="s">
        <v>45</v>
      </c>
      <c r="L11" s="114" t="s">
        <v>46</v>
      </c>
      <c r="M11" s="111" t="s">
        <v>47</v>
      </c>
      <c r="N11" s="115" t="s">
        <v>48</v>
      </c>
      <c r="O11" s="115"/>
      <c r="P11" s="114" t="s">
        <v>49</v>
      </c>
      <c r="Q11" s="111" t="s">
        <v>50</v>
      </c>
      <c r="R11" s="111" t="s">
        <v>51</v>
      </c>
      <c r="S11" s="111" t="s">
        <v>52</v>
      </c>
      <c r="T11" s="116"/>
      <c r="U11" s="117"/>
      <c r="V11" s="117"/>
      <c r="W11" s="117"/>
      <c r="X11" s="117"/>
      <c r="Y11" s="118" t="s">
        <v>53</v>
      </c>
      <c r="AC11" s="119">
        <v>1</v>
      </c>
    </row>
    <row r="12" ht="41.25" customHeight="1" spans="2:29" x14ac:dyDescent="0.25">
      <c r="B12" s="120"/>
      <c r="C12" s="121"/>
      <c r="D12" s="121"/>
      <c r="E12" s="122"/>
      <c r="F12" s="123" t="s">
        <v>54</v>
      </c>
      <c r="G12" s="123"/>
      <c r="H12" s="124" t="s">
        <v>55</v>
      </c>
      <c r="I12" s="122" t="s">
        <v>56</v>
      </c>
      <c r="J12" s="122" t="s">
        <v>57</v>
      </c>
      <c r="K12" s="122" t="s">
        <v>58</v>
      </c>
      <c r="L12" s="122" t="s">
        <v>59</v>
      </c>
      <c r="M12" s="125" t="s">
        <v>60</v>
      </c>
      <c r="N12" s="126" t="s">
        <v>61</v>
      </c>
      <c r="O12" s="126"/>
      <c r="P12" s="122" t="s">
        <v>62</v>
      </c>
      <c r="Q12" s="122" t="s">
        <v>63</v>
      </c>
      <c r="R12" s="122" t="s">
        <v>64</v>
      </c>
      <c r="S12" s="122" t="s">
        <v>65</v>
      </c>
      <c r="T12" s="122" t="s">
        <v>66</v>
      </c>
      <c r="U12" s="122" t="s">
        <v>67</v>
      </c>
      <c r="V12" s="127" t="s">
        <v>68</v>
      </c>
      <c r="W12" s="122" t="s">
        <v>69</v>
      </c>
      <c r="X12" s="128" t="s">
        <v>70</v>
      </c>
      <c r="Y12" s="129"/>
      <c r="AC12" s="119">
        <v>2</v>
      </c>
    </row>
    <row r="13" ht="27" customHeight="1" spans="2:29" x14ac:dyDescent="0.25">
      <c r="B13" s="130">
        <v>1016</v>
      </c>
      <c r="C13" s="131" t="s">
        <v>71</v>
      </c>
      <c r="D13" s="131"/>
      <c r="E13" s="132" t="s">
        <v>72</v>
      </c>
      <c r="F13" s="133" t="s">
        <v>73</v>
      </c>
      <c r="G13" s="133"/>
      <c r="H13" s="134" t="s">
        <v>74</v>
      </c>
      <c r="I13" s="135">
        <v>2</v>
      </c>
      <c r="J13" s="136" t="s">
        <v>75</v>
      </c>
      <c r="K13" s="137">
        <f>IF(J13="E",0.7,IF(J13="D",0.3,IF(J13="C",0.1,0)))</f>
        <v>0</v>
      </c>
      <c r="L13" s="137">
        <f>IF(I13="רכיב לא קיים",0,I13)</f>
        <v>2</v>
      </c>
      <c r="M13" s="138">
        <f>IF(L13=5,5,K13+L13)</f>
        <v>2</v>
      </c>
      <c r="N13" s="136"/>
      <c r="O13" s="136"/>
      <c r="P13" s="137">
        <f>IF(S13=2,0,IF(S13=1.5,0.3-((M13-1)*0.3/4),IF(S13=1.2,0.6-((M13-1)*0.6/4),1.2-((M13-1)*1.2/4))))</f>
        <v>0</v>
      </c>
      <c r="Q13" s="132">
        <f>IF(M13&gt;0,P13,0)</f>
        <v>0</v>
      </c>
      <c r="R13" s="132">
        <f>IF(M13=0,0,IF(M13-Q13&gt;=1,M13-Q13,1))</f>
        <v>2</v>
      </c>
      <c r="S13" s="132">
        <v>2</v>
      </c>
      <c r="T13" s="139">
        <f>IF(M13&gt;0,S13,0)</f>
        <v>2</v>
      </c>
      <c r="U13" s="139">
        <f>IF(M13&gt;0,S13*R13,0)</f>
        <v>4</v>
      </c>
      <c r="V13" s="140">
        <f>IF(S13=2,R13,0)</f>
        <v>2</v>
      </c>
      <c r="W13" s="137" t="s">
        <v>76</v>
      </c>
      <c r="X13" s="140" t="s">
        <v>77</v>
      </c>
      <c r="Y13" s="141"/>
      <c r="AC13" s="119">
        <v>3</v>
      </c>
    </row>
    <row r="14" ht="27" customHeight="1" spans="2:29" x14ac:dyDescent="0.25">
      <c r="B14" s="142">
        <v>1002</v>
      </c>
      <c r="C14" s="143" t="s">
        <v>78</v>
      </c>
      <c r="D14" s="143"/>
      <c r="E14" s="138" t="s">
        <v>72</v>
      </c>
      <c r="F14" s="144"/>
      <c r="G14" s="144"/>
      <c r="H14" s="145" t="s">
        <v>74</v>
      </c>
      <c r="I14" s="146">
        <v>3</v>
      </c>
      <c r="J14" s="144" t="s">
        <v>75</v>
      </c>
      <c r="K14" s="147">
        <f>IF(J14="E",0.7,IF(J14="D",0.3,IF(J14="C",0.1,0)))</f>
        <v>0</v>
      </c>
      <c r="L14" s="147">
        <f>IF(I14="רכיב לא קיים",0,I14)</f>
        <v>3</v>
      </c>
      <c r="M14" s="138">
        <f>IF(L14=5,5,K14+L14)</f>
        <v>3</v>
      </c>
      <c r="N14" s="144"/>
      <c r="O14" s="144"/>
      <c r="P14" s="137">
        <f>IF(S14=2,0,IF(S14=1.5,0.3-((M14-1)*0.3/4),IF(S14=1.2,0.6-((M14-1)*0.6/4),1.2-((M14-1)*1.2/4))))</f>
        <v>0</v>
      </c>
      <c r="Q14" s="132">
        <f>IF(M14&gt;0,P14,0)</f>
        <v>0</v>
      </c>
      <c r="R14" s="132">
        <f>IF(M14=0,0,IF(M14-Q14&gt;=1,M14-Q14,1))</f>
        <v>3</v>
      </c>
      <c r="S14" s="138">
        <v>2</v>
      </c>
      <c r="T14" s="139">
        <f>IF(M14&gt;0,S14,0)</f>
        <v>2</v>
      </c>
      <c r="U14" s="139">
        <f>IF(M14&gt;0,S14*R14,0)</f>
        <v>6</v>
      </c>
      <c r="V14" s="140">
        <f>IF(S14=2,R14,0)</f>
        <v>3</v>
      </c>
      <c r="W14" s="147">
        <v>1</v>
      </c>
      <c r="X14" s="148" t="s">
        <v>75</v>
      </c>
      <c r="Y14" s="149"/>
      <c r="AC14" s="119">
        <v>4</v>
      </c>
    </row>
    <row r="15" ht="27" customHeight="1" spans="2:29" x14ac:dyDescent="0.25">
      <c r="B15" s="142">
        <v>1011</v>
      </c>
      <c r="C15" s="143" t="s">
        <v>79</v>
      </c>
      <c r="D15" s="143"/>
      <c r="E15" s="138" t="s">
        <v>72</v>
      </c>
      <c r="F15" s="144"/>
      <c r="G15" s="144"/>
      <c r="H15" s="145" t="s">
        <v>80</v>
      </c>
      <c r="I15" s="146">
        <v>2</v>
      </c>
      <c r="J15" s="144" t="s">
        <v>75</v>
      </c>
      <c r="K15" s="147">
        <f>IF(J15="E",0.7,IF(J15="D",0.3,IF(J15="C",0.1,0)))</f>
        <v>0</v>
      </c>
      <c r="L15" s="147">
        <f>IF(I15="רכיב לא קיים",0,I15)</f>
        <v>2</v>
      </c>
      <c r="M15" s="138">
        <f>IF(L15=5,5,K15+L15)</f>
        <v>2</v>
      </c>
      <c r="N15" s="144"/>
      <c r="O15" s="144"/>
      <c r="P15" s="137">
        <f>IF(S15=2,0,IF(S15=1.5,0.3-((M15-1)*0.3/4),IF(S15=1.2,0.6-((M15-1)*0.6/4),1.2-((M15-1)*1.2/4))))</f>
        <v>0</v>
      </c>
      <c r="Q15" s="132">
        <f>IF(M15&gt;0,P15,0)</f>
        <v>0</v>
      </c>
      <c r="R15" s="132">
        <f>IF(M15=0,0,IF(M15-Q15&gt;=1,M15-Q15,1))</f>
        <v>2</v>
      </c>
      <c r="S15" s="138">
        <v>2</v>
      </c>
      <c r="T15" s="139">
        <f>IF(M15&gt;0,S15,0)</f>
        <v>2</v>
      </c>
      <c r="U15" s="139">
        <f>IF(M15&gt;0,S15*R15,0)</f>
        <v>4</v>
      </c>
      <c r="V15" s="140">
        <f>IF(S15=2,R15,0)</f>
        <v>2</v>
      </c>
      <c r="W15" s="147">
        <v>2</v>
      </c>
      <c r="X15" s="148" t="s">
        <v>81</v>
      </c>
      <c r="Y15" s="149"/>
      <c r="AC15" s="119">
        <v>5</v>
      </c>
    </row>
    <row r="16" ht="27" customHeight="1" spans="2:29" x14ac:dyDescent="0.25">
      <c r="B16" s="142">
        <v>1004</v>
      </c>
      <c r="C16" s="150" t="s">
        <v>82</v>
      </c>
      <c r="D16" s="150"/>
      <c r="E16" s="138" t="s">
        <v>72</v>
      </c>
      <c r="F16" s="144"/>
      <c r="G16" s="144"/>
      <c r="H16" s="151"/>
      <c r="I16" s="146"/>
      <c r="J16" s="144"/>
      <c r="K16" s="147">
        <f>IF(J16="E",0.7,IF(J16="D",0.3,IF(J16="C",0.1,0)))</f>
        <v>0</v>
      </c>
      <c r="L16" s="147">
        <f>IF(I16="רכיב לא קיים",0,I16)</f>
        <v>0</v>
      </c>
      <c r="M16" s="138">
        <f>IF(L16=5,5,K16+L16)</f>
        <v>0</v>
      </c>
      <c r="N16" s="144"/>
      <c r="O16" s="144"/>
      <c r="P16" s="137">
        <f>IF(S16=2,0,IF(S16=1.5,0.3-((M16-1)*0.3/4),IF(S16=1.2,0.6-((M16-1)*0.6/4),1.2-((M16-1)*1.2/4))))</f>
        <v>0</v>
      </c>
      <c r="Q16" s="132">
        <f>IF(M16&gt;0,P16,0)</f>
        <v>0</v>
      </c>
      <c r="R16" s="132">
        <f>IF(M16=0,0,IF(M16-Q16&gt;=1,M16-Q16,1))</f>
        <v>0</v>
      </c>
      <c r="S16" s="138">
        <v>2</v>
      </c>
      <c r="T16" s="139">
        <f>IF(M16&gt;0,S16,0)</f>
        <v>0</v>
      </c>
      <c r="U16" s="139">
        <f>IF(M16&gt;0,S16*R16,0)</f>
        <v>0</v>
      </c>
      <c r="V16" s="140">
        <f>IF(S16=2,R16,0)</f>
        <v>0</v>
      </c>
      <c r="W16" s="147">
        <v>3</v>
      </c>
      <c r="X16" s="148" t="s">
        <v>83</v>
      </c>
      <c r="Y16" s="149" t="s">
        <v>84</v>
      </c>
      <c r="AC16" s="119">
        <v>6</v>
      </c>
    </row>
    <row r="17" ht="27" customHeight="1" spans="2:29" x14ac:dyDescent="0.25">
      <c r="B17" s="142">
        <v>1005</v>
      </c>
      <c r="C17" s="143" t="s">
        <v>85</v>
      </c>
      <c r="D17" s="143"/>
      <c r="E17" s="138" t="s">
        <v>72</v>
      </c>
      <c r="F17" s="144"/>
      <c r="G17" s="144"/>
      <c r="H17" s="151"/>
      <c r="I17" s="146"/>
      <c r="J17" s="144"/>
      <c r="K17" s="147">
        <f>IF(J17="E",0.7,IF(J17="D",0.3,IF(J17="C",0.1,0)))</f>
        <v>0</v>
      </c>
      <c r="L17" s="147">
        <f>IF(I17="רכיב לא קיים",0,I17)</f>
        <v>0</v>
      </c>
      <c r="M17" s="138">
        <f>IF(L17=5,5,K17+L17)</f>
        <v>0</v>
      </c>
      <c r="N17" s="144"/>
      <c r="O17" s="144"/>
      <c r="P17" s="137">
        <f>IF(S17=2,0,IF(S17=1.5,0.3-((M17-1)*0.3/4),IF(S17=1.2,0.6-((M17-1)*0.6/4),1.2-((M17-1)*1.2/4))))</f>
        <v>0</v>
      </c>
      <c r="Q17" s="132">
        <f>IF(M17&gt;0,P17,0)</f>
        <v>0</v>
      </c>
      <c r="R17" s="132">
        <f>IF(M17=0,0,IF(M17-Q17&gt;=1,M17-Q17,1))</f>
        <v>0</v>
      </c>
      <c r="S17" s="138">
        <v>2</v>
      </c>
      <c r="T17" s="139">
        <f>IF(M17&gt;0,S17,0)</f>
        <v>0</v>
      </c>
      <c r="U17" s="139">
        <f>IF(M17&gt;0,S17*R17,0)</f>
        <v>0</v>
      </c>
      <c r="V17" s="140">
        <f>IF(S17=2,R17,0)</f>
        <v>0</v>
      </c>
      <c r="W17" s="147">
        <v>4</v>
      </c>
      <c r="X17" s="148" t="s">
        <v>86</v>
      </c>
      <c r="Y17" s="149" t="s">
        <v>84</v>
      </c>
      <c r="AC17" s="119">
        <v>7</v>
      </c>
    </row>
    <row r="18" ht="27" customHeight="1" spans="2:29" x14ac:dyDescent="0.25">
      <c r="B18" s="142">
        <v>1007</v>
      </c>
      <c r="C18" s="143" t="s">
        <v>87</v>
      </c>
      <c r="D18" s="143"/>
      <c r="E18" s="138" t="s">
        <v>72</v>
      </c>
      <c r="F18" s="144"/>
      <c r="G18" s="144"/>
      <c r="H18" s="151"/>
      <c r="I18" s="146"/>
      <c r="J18" s="144"/>
      <c r="K18" s="147">
        <f>IF(J18="E",0.7,IF(J18="D",0.3,IF(J18="C",0.1,0)))</f>
        <v>0</v>
      </c>
      <c r="L18" s="147">
        <f>IF(I18="רכיב לא קיים",0,I18)</f>
        <v>0</v>
      </c>
      <c r="M18" s="138">
        <f>IF(L18=5,5,K18+L18)</f>
        <v>0</v>
      </c>
      <c r="N18" s="144"/>
      <c r="O18" s="144"/>
      <c r="P18" s="137">
        <f>IF(S18=2,0,IF(S18=1.5,0.3-((M18-1)*0.3/4),IF(S18=1.2,0.6-((M18-1)*0.6/4),1.2-((M18-1)*1.2/4))))</f>
        <v>0</v>
      </c>
      <c r="Q18" s="132">
        <f>IF(M18&gt;0,P18,0)</f>
        <v>0</v>
      </c>
      <c r="R18" s="132">
        <f>IF(M18=0,0,IF(M18-Q18&gt;=1,M18-Q18,1))</f>
        <v>0</v>
      </c>
      <c r="S18" s="138">
        <v>2</v>
      </c>
      <c r="T18" s="139">
        <f>IF(M18&gt;0,S18,0)</f>
        <v>0</v>
      </c>
      <c r="U18" s="139">
        <f>IF(M18&gt;0,S18*R18,0)</f>
        <v>0</v>
      </c>
      <c r="V18" s="140">
        <f>IF(S18=2,R18,0)</f>
        <v>0</v>
      </c>
      <c r="W18" s="147">
        <v>4</v>
      </c>
      <c r="X18" s="148" t="s">
        <v>86</v>
      </c>
      <c r="Y18" s="149" t="s">
        <v>84</v>
      </c>
      <c r="AC18" s="119">
        <v>7</v>
      </c>
    </row>
    <row r="19" ht="27" customHeight="1" spans="2:29" x14ac:dyDescent="0.25">
      <c r="B19" s="142">
        <v>1006</v>
      </c>
      <c r="C19" s="150" t="s">
        <v>88</v>
      </c>
      <c r="D19" s="150"/>
      <c r="E19" s="138" t="s">
        <v>72</v>
      </c>
      <c r="F19" s="144"/>
      <c r="G19" s="144"/>
      <c r="H19" s="145"/>
      <c r="I19" s="146"/>
      <c r="J19" s="144"/>
      <c r="K19" s="147">
        <f>IF(J19="E",0.7,IF(J19="D",0.3,IF(J19="C",0.1,0)))</f>
        <v>0</v>
      </c>
      <c r="L19" s="147">
        <f>IF(I19="רכיב לא קיים",0,I19)</f>
        <v>0</v>
      </c>
      <c r="M19" s="138">
        <f>IF(L19=5,5,K19+L19)</f>
        <v>0</v>
      </c>
      <c r="N19" s="144"/>
      <c r="O19" s="144"/>
      <c r="P19" s="137">
        <f>IF(S19=2,0,IF(S19=1.5,0.3-((M19-1)*0.3/4),IF(S19=1.2,0.6-((M19-1)*0.6/4),1.2-((M19-1)*1.2/4))))</f>
        <v>0</v>
      </c>
      <c r="Q19" s="132">
        <f>IF(M19&gt;0,P19,0)</f>
        <v>0</v>
      </c>
      <c r="R19" s="132">
        <f>IF(M19=0,0,IF(M19-Q19&gt;=1,M19-Q19,1))</f>
        <v>0</v>
      </c>
      <c r="S19" s="138">
        <v>2</v>
      </c>
      <c r="T19" s="139">
        <f>IF(M19&gt;0,S19,0)</f>
        <v>0</v>
      </c>
      <c r="U19" s="139">
        <f>IF(M19&gt;0,S19*R19,0)</f>
        <v>0</v>
      </c>
      <c r="V19" s="140">
        <f>IF(S19=2,R19,0)</f>
        <v>0</v>
      </c>
      <c r="W19" s="147">
        <v>5</v>
      </c>
      <c r="X19" s="148"/>
      <c r="Y19" s="149"/>
      <c r="AC19" s="119">
        <v>8</v>
      </c>
    </row>
    <row r="20" ht="27" customHeight="1" spans="2:29" x14ac:dyDescent="0.25">
      <c r="B20" s="142">
        <v>6008</v>
      </c>
      <c r="C20" s="150" t="s">
        <v>89</v>
      </c>
      <c r="D20" s="150"/>
      <c r="E20" s="138" t="s">
        <v>90</v>
      </c>
      <c r="F20" s="144"/>
      <c r="G20" s="144"/>
      <c r="H20" s="145"/>
      <c r="I20" s="146"/>
      <c r="J20" s="144"/>
      <c r="K20" s="147">
        <f>IF(J20="E",0.7,IF(J20="D",0.3,IF(J20="C",0.1,0)))</f>
        <v>0</v>
      </c>
      <c r="L20" s="147">
        <f>IF(I20="רכיב לא קיים",0,I20)</f>
        <v>0</v>
      </c>
      <c r="M20" s="138">
        <f>IF(L20=5,5,K20+L20)</f>
        <v>0</v>
      </c>
      <c r="N20" s="144"/>
      <c r="O20" s="144"/>
      <c r="P20" s="137">
        <f>IF(S20=2,0,IF(S20=1.5,0.3-((M20-1)*0.3/4),IF(S20=1.2,0.6-((M20-1)*0.6/4),1.2-((M20-1)*1.2/4))))</f>
        <v>0.375</v>
      </c>
      <c r="Q20" s="132">
        <f>IF(M20&gt;0,P20,0)</f>
        <v>0</v>
      </c>
      <c r="R20" s="132">
        <f>IF(M20=0,0,IF(M20-Q20&gt;=1,M20-Q20,1))</f>
        <v>0</v>
      </c>
      <c r="S20" s="138">
        <v>1.5</v>
      </c>
      <c r="T20" s="139">
        <f>IF(M20&gt;0,S20,0)</f>
        <v>0</v>
      </c>
      <c r="U20" s="139">
        <f>IF(M20&gt;0,S20*R20,0)</f>
        <v>0</v>
      </c>
      <c r="V20" s="140">
        <f>IF(S20=2,R20,0)</f>
        <v>0</v>
      </c>
      <c r="W20" s="65"/>
      <c r="X20" s="65"/>
      <c r="Y20" s="149"/>
      <c r="AC20" s="119">
        <v>9</v>
      </c>
    </row>
    <row r="21" ht="27" customHeight="1" spans="2:29" x14ac:dyDescent="0.25">
      <c r="B21" s="142">
        <v>2001</v>
      </c>
      <c r="C21" s="143" t="s">
        <v>91</v>
      </c>
      <c r="D21" s="143"/>
      <c r="E21" s="138" t="s">
        <v>90</v>
      </c>
      <c r="F21" s="144"/>
      <c r="G21" s="144"/>
      <c r="H21" s="151"/>
      <c r="I21" s="146"/>
      <c r="J21" s="144"/>
      <c r="K21" s="147">
        <f>IF(J21="E",0.7,IF(J21="D",0.3,IF(J21="C",0.1,0)))</f>
        <v>0</v>
      </c>
      <c r="L21" s="147">
        <f>IF(I21="רכיב לא קיים",0,I21)</f>
        <v>0</v>
      </c>
      <c r="M21" s="138">
        <f>IF(L21=5,5,K21+L21)</f>
        <v>0</v>
      </c>
      <c r="N21" s="144"/>
      <c r="O21" s="144"/>
      <c r="P21" s="137">
        <f>IF(S21=2,0,IF(S21=1.5,0.3-((M21-1)*0.3/4),IF(S21=1.2,0.6-((M21-1)*0.6/4),1.2-((M21-1)*1.2/4))))</f>
        <v>0.375</v>
      </c>
      <c r="Q21" s="132">
        <f>IF(M21&gt;0,P21,0)</f>
        <v>0</v>
      </c>
      <c r="R21" s="132">
        <f>IF(M21=0,0,IF(M21-Q21&gt;=1,M21-Q21,1))</f>
        <v>0</v>
      </c>
      <c r="S21" s="138">
        <v>1.5</v>
      </c>
      <c r="T21" s="139">
        <f>IF(M21&gt;0,S21,0)</f>
        <v>0</v>
      </c>
      <c r="U21" s="139">
        <f>IF(M21&gt;0,S21*R21,0)</f>
        <v>0</v>
      </c>
      <c r="V21" s="140">
        <f>IF(S21=2,R21,0)</f>
        <v>0</v>
      </c>
      <c r="W21" s="65"/>
      <c r="X21" s="65"/>
      <c r="Y21" s="152" t="s">
        <v>92</v>
      </c>
      <c r="AC21" s="119">
        <v>10</v>
      </c>
    </row>
    <row r="22" ht="27" customHeight="1" spans="2:25" x14ac:dyDescent="0.25">
      <c r="B22" s="142">
        <v>2002</v>
      </c>
      <c r="C22" s="143" t="s">
        <v>93</v>
      </c>
      <c r="D22" s="143"/>
      <c r="E22" s="138" t="s">
        <v>90</v>
      </c>
      <c r="F22" s="144"/>
      <c r="G22" s="144"/>
      <c r="H22" s="145" t="s">
        <v>94</v>
      </c>
      <c r="I22" s="146">
        <v>2</v>
      </c>
      <c r="J22" s="144" t="s">
        <v>81</v>
      </c>
      <c r="K22" s="147">
        <f>IF(J22="E",0.7,IF(J22="D",0.3,IF(J22="C",0.1,0)))</f>
        <v>0.1</v>
      </c>
      <c r="L22" s="147">
        <f>IF(I22="רכיב לא קיים",0,I22)</f>
        <v>2</v>
      </c>
      <c r="M22" s="138">
        <f>IF(L22=5,5,K22+L22)</f>
        <v>2.1</v>
      </c>
      <c r="N22" s="144"/>
      <c r="O22" s="144"/>
      <c r="P22" s="137">
        <f>IF(S22=2,0,IF(S22=1.5,0.3-((M22-1)*0.3/4),IF(S22=1.2,0.6-((M22-1)*0.6/4),1.2-((M22-1)*1.2/4))))</f>
        <v>0.2175</v>
      </c>
      <c r="Q22" s="132">
        <f>IF(M22&gt;0,P22,0)</f>
        <v>0.2175</v>
      </c>
      <c r="R22" s="132">
        <f>IF(M22=0,0,IF(M22-Q22&gt;=1,M22-Q22,1))</f>
        <v>1.8825</v>
      </c>
      <c r="S22" s="138">
        <v>1.5</v>
      </c>
      <c r="T22" s="139">
        <f>IF(M22&gt;0,S22,0)</f>
        <v>1.5</v>
      </c>
      <c r="U22" s="139">
        <f>IF(M22&gt;0,S22*R22,0)</f>
        <v>2.82375</v>
      </c>
      <c r="V22" s="140">
        <f>IF(S22=2,R22,0)</f>
        <v>0</v>
      </c>
      <c r="W22" s="65"/>
      <c r="X22" s="65"/>
      <c r="Y22" s="149"/>
    </row>
    <row r="23" ht="27" customHeight="1" spans="2:25" x14ac:dyDescent="0.25">
      <c r="B23" s="142">
        <v>2003</v>
      </c>
      <c r="C23" s="150" t="s">
        <v>95</v>
      </c>
      <c r="D23" s="150"/>
      <c r="E23" s="138" t="s">
        <v>90</v>
      </c>
      <c r="F23" s="144"/>
      <c r="G23" s="144"/>
      <c r="H23" s="151"/>
      <c r="I23" s="146"/>
      <c r="J23" s="144"/>
      <c r="K23" s="147">
        <f>IF(J23="E",0.7,IF(J23="D",0.3,IF(J23="C",0.1,0)))</f>
        <v>0</v>
      </c>
      <c r="L23" s="147">
        <f>IF(I23="רכיב לא קיים",0,I23)</f>
        <v>0</v>
      </c>
      <c r="M23" s="138">
        <f>IF(L23=5,5,K23+L23)</f>
        <v>0</v>
      </c>
      <c r="N23" s="144"/>
      <c r="O23" s="144"/>
      <c r="P23" s="137">
        <f>IF(S23=2,0,IF(S23=1.5,0.3-((M23-1)*0.3/4),IF(S23=1.2,0.6-((M23-1)*0.6/4),1.2-((M23-1)*1.2/4))))</f>
        <v>0.375</v>
      </c>
      <c r="Q23" s="132">
        <f>IF(M23&gt;0,P23,0)</f>
        <v>0</v>
      </c>
      <c r="R23" s="132">
        <f>IF(M23=0,0,IF(M23-Q23&gt;=1,M23-Q23,1))</f>
        <v>0</v>
      </c>
      <c r="S23" s="138">
        <v>1.5</v>
      </c>
      <c r="T23" s="139">
        <f>IF(M23&gt;0,S23,0)</f>
        <v>0</v>
      </c>
      <c r="U23" s="139">
        <f>IF(M23&gt;0,S23*R23,0)</f>
        <v>0</v>
      </c>
      <c r="V23" s="140">
        <f>IF(S23=2,R23,0)</f>
        <v>0</v>
      </c>
      <c r="W23" s="65"/>
      <c r="X23" s="65"/>
      <c r="Y23" s="149" t="s">
        <v>84</v>
      </c>
    </row>
    <row r="24" ht="27" customHeight="1" spans="2:25" x14ac:dyDescent="0.25">
      <c r="B24" s="142">
        <v>2004</v>
      </c>
      <c r="C24" s="143" t="s">
        <v>96</v>
      </c>
      <c r="D24" s="143"/>
      <c r="E24" s="138" t="s">
        <v>72</v>
      </c>
      <c r="F24" s="144"/>
      <c r="G24" s="144"/>
      <c r="H24" s="145"/>
      <c r="I24" s="146"/>
      <c r="J24" s="144"/>
      <c r="K24" s="147">
        <f>IF(J24="E",0.7,IF(J24="D",0.3,IF(J24="C",0.1,0)))</f>
        <v>0</v>
      </c>
      <c r="L24" s="147">
        <f>IF(I24="רכיב לא קיים",0,I24)</f>
        <v>0</v>
      </c>
      <c r="M24" s="138">
        <f>IF(L24=5,5,K24+L24)</f>
        <v>0</v>
      </c>
      <c r="N24" s="144"/>
      <c r="O24" s="144"/>
      <c r="P24" s="147">
        <f>IF(S24=2,0,IF(S24=1.5,0.3-((M24-1)*0.3/4),IF(S24=1.2,0.6-((M24-1)*0.6/4),1.2-((M24-1)*1.2/4))))</f>
        <v>0</v>
      </c>
      <c r="Q24" s="132">
        <f>IF(M24&gt;0,P24,0)</f>
        <v>0</v>
      </c>
      <c r="R24" s="132">
        <f>IF(M24=0,0,IF(M24-Q24&gt;=1,M24-Q24,1))</f>
        <v>0</v>
      </c>
      <c r="S24" s="138">
        <v>2</v>
      </c>
      <c r="T24" s="139">
        <f>IF(M24&gt;0,S24,0)</f>
        <v>0</v>
      </c>
      <c r="U24" s="139">
        <f>IF(M24&gt;0,S24*R24,0)</f>
        <v>0</v>
      </c>
      <c r="V24" s="140">
        <f>IF(S24=2,R24,0)</f>
        <v>0</v>
      </c>
      <c r="W24" s="65"/>
      <c r="X24" s="65"/>
      <c r="Y24" s="149" t="s">
        <v>84</v>
      </c>
    </row>
    <row r="25" ht="27" customHeight="1" spans="2:25" x14ac:dyDescent="0.25">
      <c r="B25" s="142">
        <v>2005</v>
      </c>
      <c r="C25" s="150" t="s">
        <v>97</v>
      </c>
      <c r="D25" s="150"/>
      <c r="E25" s="138" t="s">
        <v>72</v>
      </c>
      <c r="F25" s="144"/>
      <c r="G25" s="144"/>
      <c r="H25" s="145"/>
      <c r="I25" s="146"/>
      <c r="J25" s="144"/>
      <c r="K25" s="147">
        <f>IF(J25="E",0.7,IF(J25="D",0.3,IF(J25="C",0.1,0)))</f>
        <v>0</v>
      </c>
      <c r="L25" s="147">
        <f>IF(I25="רכיב לא קיים",0,I25)</f>
        <v>0</v>
      </c>
      <c r="M25" s="138">
        <f>IF(L25=5,5,K25+L25)</f>
        <v>0</v>
      </c>
      <c r="N25" s="144"/>
      <c r="O25" s="144"/>
      <c r="P25" s="147">
        <f>IF(S25=2,0,IF(S25=1.5,0.3-((M25-1)*0.3/4),IF(S25=1.2,0.6-((M25-1)*0.6/4),1.2-((M25-1)*1.2/4))))</f>
        <v>0</v>
      </c>
      <c r="Q25" s="132">
        <f>IF(M25&gt;0,P25,0)</f>
        <v>0</v>
      </c>
      <c r="R25" s="132">
        <f>IF(M25=0,0,IF(M25-Q25&gt;=1,M25-Q25,1))</f>
        <v>0</v>
      </c>
      <c r="S25" s="138">
        <v>2</v>
      </c>
      <c r="T25" s="139">
        <f>IF(M25&gt;0,S25,0)</f>
        <v>0</v>
      </c>
      <c r="U25" s="139">
        <f>IF(M25&gt;0,S25*R25,0)</f>
        <v>0</v>
      </c>
      <c r="V25" s="140">
        <f>IF(S25=2,R25,0)</f>
        <v>0</v>
      </c>
      <c r="W25" s="65"/>
      <c r="X25" s="65"/>
      <c r="Y25" s="149"/>
    </row>
    <row r="26" ht="27" customHeight="1" spans="2:25" x14ac:dyDescent="0.25">
      <c r="B26" s="142">
        <v>2006</v>
      </c>
      <c r="C26" s="150" t="s">
        <v>98</v>
      </c>
      <c r="D26" s="150"/>
      <c r="E26" s="138" t="s">
        <v>90</v>
      </c>
      <c r="F26" s="144"/>
      <c r="G26" s="144"/>
      <c r="H26" s="145"/>
      <c r="I26" s="146"/>
      <c r="J26" s="144"/>
      <c r="K26" s="147">
        <f>IF(J26="E",0.7,IF(J26="D",0.3,IF(J26="C",0.1,0)))</f>
        <v>0</v>
      </c>
      <c r="L26" s="147">
        <f>IF(I26="רכיב לא קיים",0,I26)</f>
        <v>0</v>
      </c>
      <c r="M26" s="138">
        <f>IF(L26=5,5,K26+L26)</f>
        <v>0</v>
      </c>
      <c r="N26" s="144"/>
      <c r="O26" s="144"/>
      <c r="P26" s="147">
        <f>IF(S26=2,0,IF(S26=1.5,0.3-((M26-1)*0.3/4),IF(S26=1.2,0.6-((M26-1)*0.6/4),1.2-((M26-1)*1.2/4))))</f>
        <v>0.375</v>
      </c>
      <c r="Q26" s="132">
        <f>IF(M26&gt;0,P26,0)</f>
        <v>0</v>
      </c>
      <c r="R26" s="132">
        <f>IF(M26=0,0,IF(M26-Q26&gt;=1,M26-Q26,1))</f>
        <v>0</v>
      </c>
      <c r="S26" s="138">
        <v>1.5</v>
      </c>
      <c r="T26" s="139">
        <f>IF(M26&gt;0,S26,0)</f>
        <v>0</v>
      </c>
      <c r="U26" s="139">
        <f>IF(M26&gt;0,S26*R26,0)</f>
        <v>0</v>
      </c>
      <c r="V26" s="140">
        <f>IF(S26=2,R26,0)</f>
        <v>0</v>
      </c>
      <c r="W26" s="65"/>
      <c r="X26" s="65"/>
      <c r="Y26" s="149"/>
    </row>
    <row r="27" ht="27" customHeight="1" spans="2:25" x14ac:dyDescent="0.25">
      <c r="B27" s="142">
        <v>2007</v>
      </c>
      <c r="C27" s="150" t="s">
        <v>99</v>
      </c>
      <c r="D27" s="150"/>
      <c r="E27" s="138" t="s">
        <v>90</v>
      </c>
      <c r="F27" s="144"/>
      <c r="G27" s="144"/>
      <c r="H27" s="151"/>
      <c r="I27" s="146"/>
      <c r="J27" s="144"/>
      <c r="K27" s="147">
        <f>IF(J27="E",0.7,IF(J27="D",0.3,IF(J27="C",0.1,0)))</f>
        <v>0</v>
      </c>
      <c r="L27" s="147">
        <f>IF(I27="רכיב לא קיים",0,I27)</f>
        <v>0</v>
      </c>
      <c r="M27" s="138">
        <f>IF(L27=5,5,K27+L27)</f>
        <v>0</v>
      </c>
      <c r="N27" s="144"/>
      <c r="O27" s="144"/>
      <c r="P27" s="147">
        <f>IF(S27=2,0,IF(S27=1.5,0.3-((M27-1)*0.3/4),IF(S27=1.2,0.6-((M27-1)*0.6/4),1.2-((M27-1)*1.2/4))))</f>
        <v>0.375</v>
      </c>
      <c r="Q27" s="132">
        <f>IF(M27&gt;0,P27,0)</f>
        <v>0</v>
      </c>
      <c r="R27" s="132">
        <f>IF(M27=0,0,IF(M27-Q27&gt;=1,M27-Q27,1))</f>
        <v>0</v>
      </c>
      <c r="S27" s="138">
        <v>1.5</v>
      </c>
      <c r="T27" s="139">
        <f>IF(M27&gt;0,S27,0)</f>
        <v>0</v>
      </c>
      <c r="U27" s="139">
        <f>IF(M27&gt;0,S27*R27,0)</f>
        <v>0</v>
      </c>
      <c r="V27" s="140">
        <f>IF(S27=2,R27,0)</f>
        <v>0</v>
      </c>
      <c r="W27" s="65"/>
      <c r="X27" s="65"/>
      <c r="Y27" s="149" t="s">
        <v>84</v>
      </c>
    </row>
    <row r="28" ht="27" customHeight="1" spans="2:25" x14ac:dyDescent="0.25">
      <c r="B28" s="142">
        <v>2008</v>
      </c>
      <c r="C28" s="143" t="s">
        <v>100</v>
      </c>
      <c r="D28" s="143"/>
      <c r="E28" s="138" t="s">
        <v>101</v>
      </c>
      <c r="F28" s="144"/>
      <c r="G28" s="144"/>
      <c r="H28" s="151"/>
      <c r="I28" s="146"/>
      <c r="J28" s="144"/>
      <c r="K28" s="147">
        <f>IF(J28="E",0.7,IF(J28="D",0.3,IF(J28="C",0.1,0)))</f>
        <v>0</v>
      </c>
      <c r="L28" s="147">
        <f>IF(I28="רכיב לא קיים",0,I28)</f>
        <v>0</v>
      </c>
      <c r="M28" s="138">
        <f>IF(L28=5,5,K28+L28)</f>
        <v>0</v>
      </c>
      <c r="N28" s="144"/>
      <c r="O28" s="144"/>
      <c r="P28" s="147">
        <f>IF(S28=2,0,IF(S28=1.5,0.3-((M28-1)*0.3/4),IF(S28=1.2,0.6-((M28-1)*0.6/4),1.2-((M28-1)*1.2/4))))</f>
        <v>0.75</v>
      </c>
      <c r="Q28" s="132">
        <f>IF(M28&gt;0,P28,0)</f>
        <v>0</v>
      </c>
      <c r="R28" s="132">
        <f>IF(M28=0,0,IF(M28-Q28&gt;=1,M28-Q28,1))</f>
        <v>0</v>
      </c>
      <c r="S28" s="138">
        <v>1.2</v>
      </c>
      <c r="T28" s="139">
        <f>IF(M28&gt;0,S28,0)</f>
        <v>0</v>
      </c>
      <c r="U28" s="139">
        <f>IF(M28&gt;0,S28*R28,0)</f>
        <v>0</v>
      </c>
      <c r="V28" s="140">
        <f>IF(S28=2,R28,0)</f>
        <v>0</v>
      </c>
      <c r="W28" s="65"/>
      <c r="X28" s="65"/>
      <c r="Y28" s="149" t="s">
        <v>84</v>
      </c>
    </row>
    <row r="29" ht="27" customHeight="1" spans="2:25" x14ac:dyDescent="0.25">
      <c r="B29" s="142">
        <v>3001</v>
      </c>
      <c r="C29" s="150" t="s">
        <v>102</v>
      </c>
      <c r="D29" s="150"/>
      <c r="E29" s="138" t="s">
        <v>101</v>
      </c>
      <c r="F29" s="144"/>
      <c r="G29" s="144"/>
      <c r="H29" s="151"/>
      <c r="I29" s="146"/>
      <c r="J29" s="144"/>
      <c r="K29" s="147">
        <f>IF(J29="E",0.7,IF(J29="D",0.3,IF(J29="C",0.1,0)))</f>
        <v>0</v>
      </c>
      <c r="L29" s="147">
        <f>IF(I29="רכיב לא קיים",0,I29)</f>
        <v>0</v>
      </c>
      <c r="M29" s="138">
        <f>IF(L29=5,5,K29+L29)</f>
        <v>0</v>
      </c>
      <c r="N29" s="144"/>
      <c r="O29" s="144"/>
      <c r="P29" s="147">
        <f>IF(S29=2,0,IF(S29=1.5,0.3-((M29-1)*0.3/4),IF(S29=1.2,0.6-((M29-1)*0.6/4),1.2-((M29-1)*1.2/4))))</f>
        <v>0.75</v>
      </c>
      <c r="Q29" s="132">
        <f>IF(M29&gt;0,P29,0)</f>
        <v>0</v>
      </c>
      <c r="R29" s="132">
        <f>IF(M29=0,0,IF(M29-Q29&gt;=1,M29-Q29,1))</f>
        <v>0</v>
      </c>
      <c r="S29" s="138">
        <v>1.2</v>
      </c>
      <c r="T29" s="139">
        <f>IF(M29&gt;0,S29,0)</f>
        <v>0</v>
      </c>
      <c r="U29" s="139">
        <f>IF(M29&gt;0,S29*R29,0)</f>
        <v>0</v>
      </c>
      <c r="V29" s="140">
        <f>IF(S29=2,R29,0)</f>
        <v>0</v>
      </c>
      <c r="W29" s="65"/>
      <c r="X29" s="65"/>
      <c r="Y29" s="149" t="s">
        <v>84</v>
      </c>
    </row>
    <row r="30" ht="27" customHeight="1" spans="2:25" x14ac:dyDescent="0.25">
      <c r="B30" s="142">
        <v>3002</v>
      </c>
      <c r="C30" s="150" t="s">
        <v>103</v>
      </c>
      <c r="D30" s="150"/>
      <c r="E30" s="138" t="s">
        <v>101</v>
      </c>
      <c r="F30" s="144"/>
      <c r="G30" s="144"/>
      <c r="H30" s="151"/>
      <c r="I30" s="146"/>
      <c r="J30" s="144"/>
      <c r="K30" s="147">
        <f>IF(J30="E",0.7,IF(J30="D",0.3,IF(J30="C",0.1,0)))</f>
        <v>0</v>
      </c>
      <c r="L30" s="147">
        <f>IF(I30="רכיב לא קיים",0,I30)</f>
        <v>0</v>
      </c>
      <c r="M30" s="138">
        <f>IF(L30=5,5,K30+L30)</f>
        <v>0</v>
      </c>
      <c r="N30" s="144"/>
      <c r="O30" s="144"/>
      <c r="P30" s="147">
        <f>IF(S30=2,0,IF(S30=1.5,0.3-((M30-1)*0.3/4),IF(S30=1.2,0.6-((M30-1)*0.6/4),1.2-((M30-1)*1.2/4))))</f>
        <v>0.75</v>
      </c>
      <c r="Q30" s="132">
        <f>IF(M30&gt;0,P30,0)</f>
        <v>0</v>
      </c>
      <c r="R30" s="132">
        <f>IF(M30=0,0,IF(M30-Q30&gt;=1,M30-Q30,1))</f>
        <v>0</v>
      </c>
      <c r="S30" s="138">
        <v>1.2</v>
      </c>
      <c r="T30" s="139">
        <f>IF(M30&gt;0,S30,0)</f>
        <v>0</v>
      </c>
      <c r="U30" s="139">
        <f>IF(M30&gt;0,S30*R30,0)</f>
        <v>0</v>
      </c>
      <c r="V30" s="140">
        <f>IF(S30=2,R30,0)</f>
        <v>0</v>
      </c>
      <c r="W30" s="65"/>
      <c r="X30" s="65"/>
      <c r="Y30" s="149" t="s">
        <v>84</v>
      </c>
    </row>
    <row r="31" ht="27" customHeight="1" spans="2:25" x14ac:dyDescent="0.25">
      <c r="B31" s="142">
        <v>3003</v>
      </c>
      <c r="C31" s="143" t="s">
        <v>104</v>
      </c>
      <c r="D31" s="143"/>
      <c r="E31" s="138" t="s">
        <v>101</v>
      </c>
      <c r="F31" s="144"/>
      <c r="G31" s="144"/>
      <c r="H31" s="145"/>
      <c r="I31" s="146"/>
      <c r="J31" s="144"/>
      <c r="K31" s="147">
        <f>IF(J31="E",0.7,IF(J31="D",0.3,IF(J31="C",0.1,0)))</f>
        <v>0</v>
      </c>
      <c r="L31" s="147">
        <f>IF(I31="רכיב לא קיים",0,I31)</f>
        <v>0</v>
      </c>
      <c r="M31" s="138">
        <f>IF(L31=5,5,K31+L31)</f>
        <v>0</v>
      </c>
      <c r="N31" s="144"/>
      <c r="O31" s="144"/>
      <c r="P31" s="147">
        <f>IF(S31=2,0,IF(S31=1.5,0.3-((M31-1)*0.3/4),IF(S31=1.2,0.6-((M31-1)*0.6/4),1.2-((M31-1)*1.2/4))))</f>
        <v>0.75</v>
      </c>
      <c r="Q31" s="132">
        <f>IF(M31&gt;0,P31,0)</f>
        <v>0</v>
      </c>
      <c r="R31" s="132">
        <f>IF(M31=0,0,IF(M31-Q31&gt;=1,M31-Q31,1))</f>
        <v>0</v>
      </c>
      <c r="S31" s="138">
        <v>1.2</v>
      </c>
      <c r="T31" s="139">
        <f>IF(M31&gt;0,S31,0)</f>
        <v>0</v>
      </c>
      <c r="U31" s="139">
        <f>IF(M31&gt;0,S31*R31,0)</f>
        <v>0</v>
      </c>
      <c r="V31" s="140">
        <f>IF(S31=2,R31,0)</f>
        <v>0</v>
      </c>
      <c r="W31" s="65"/>
      <c r="X31" s="65"/>
      <c r="Y31" s="149" t="s">
        <v>84</v>
      </c>
    </row>
    <row r="32" ht="27" customHeight="1" spans="2:25" x14ac:dyDescent="0.25">
      <c r="B32" s="142">
        <v>7002</v>
      </c>
      <c r="C32" s="143" t="s">
        <v>105</v>
      </c>
      <c r="D32" s="143"/>
      <c r="E32" s="138" t="s">
        <v>90</v>
      </c>
      <c r="F32" s="144"/>
      <c r="G32" s="144"/>
      <c r="H32" s="145" t="s">
        <v>106</v>
      </c>
      <c r="I32" s="146">
        <v>2</v>
      </c>
      <c r="J32" s="144" t="s">
        <v>81</v>
      </c>
      <c r="K32" s="147">
        <f>IF(J32="E",0.7,IF(J32="D",0.3,IF(J32="C",0.1,0)))</f>
        <v>0.1</v>
      </c>
      <c r="L32" s="147">
        <f>IF(I32="רכיב לא קיים",0,I32)</f>
        <v>2</v>
      </c>
      <c r="M32" s="138">
        <f>IF(L32=5,5,K32+L32)</f>
        <v>2.1</v>
      </c>
      <c r="N32" s="144"/>
      <c r="O32" s="144"/>
      <c r="P32" s="147">
        <f>IF(S32=2,0,IF(S32=1.5,0.3-((M32-1)*0.3/4),IF(S32=1.2,0.6-((M32-1)*0.6/4),1.2-((M32-1)*1.2/4))))</f>
        <v>0.2175</v>
      </c>
      <c r="Q32" s="132">
        <f>IF(M32&gt;0,P32,0)</f>
        <v>0.2175</v>
      </c>
      <c r="R32" s="132">
        <f>IF(M32=0,0,IF(M32-Q32&gt;=1,M32-Q32,1))</f>
        <v>1.8825</v>
      </c>
      <c r="S32" s="138">
        <v>1.5</v>
      </c>
      <c r="T32" s="139">
        <f>IF(M32&gt;0,S32,0)</f>
        <v>1.5</v>
      </c>
      <c r="U32" s="139">
        <f>IF(M32&gt;0,S32*R32,0)</f>
        <v>2.82375</v>
      </c>
      <c r="V32" s="140">
        <f>IF(S32=2,R32,0)</f>
        <v>0</v>
      </c>
      <c r="W32" s="65"/>
      <c r="X32" s="65"/>
      <c r="Y32" s="149"/>
    </row>
    <row r="33" ht="27" customHeight="1" spans="2:25" x14ac:dyDescent="0.25">
      <c r="B33" s="142">
        <v>3005</v>
      </c>
      <c r="C33" s="143" t="s">
        <v>107</v>
      </c>
      <c r="D33" s="143"/>
      <c r="E33" s="138" t="s">
        <v>101</v>
      </c>
      <c r="F33" s="144"/>
      <c r="G33" s="144"/>
      <c r="H33" s="151"/>
      <c r="I33" s="146"/>
      <c r="J33" s="144"/>
      <c r="K33" s="147">
        <f>IF(J33="E",0.7,IF(J33="D",0.3,IF(J33="C",0.1,0)))</f>
        <v>0</v>
      </c>
      <c r="L33" s="147">
        <f>IF(I33="רכיב לא קיים",0,I33)</f>
        <v>0</v>
      </c>
      <c r="M33" s="138">
        <f>IF(L33=5,5,K33+L33)</f>
        <v>0</v>
      </c>
      <c r="N33" s="144"/>
      <c r="O33" s="144"/>
      <c r="P33" s="147">
        <f>IF(S33=2,0,IF(S33=1.5,0.3-((M33-1)*0.3/4),IF(S33=1.2,0.6-((M33-1)*0.6/4),1.2-((M33-1)*1.2/4))))</f>
        <v>0.75</v>
      </c>
      <c r="Q33" s="132">
        <f>IF(M33&gt;0,P33,0)</f>
        <v>0</v>
      </c>
      <c r="R33" s="132">
        <f>IF(M33=0,0,IF(M33-Q33&gt;=1,M33-Q33,1))</f>
        <v>0</v>
      </c>
      <c r="S33" s="138">
        <v>1.2</v>
      </c>
      <c r="T33" s="139">
        <f>IF(M33&gt;0,S33,0)</f>
        <v>0</v>
      </c>
      <c r="U33" s="139">
        <f>IF(M33&gt;0,S33*R33,0)</f>
        <v>0</v>
      </c>
      <c r="V33" s="140">
        <f>IF(S33=2,R33,0)</f>
        <v>0</v>
      </c>
      <c r="W33" s="65"/>
      <c r="X33" s="65"/>
      <c r="Y33" s="149" t="s">
        <v>84</v>
      </c>
    </row>
    <row r="34" ht="27" customHeight="1" spans="2:25" x14ac:dyDescent="0.25">
      <c r="B34" s="142">
        <v>3006</v>
      </c>
      <c r="C34" s="143" t="s">
        <v>108</v>
      </c>
      <c r="D34" s="143"/>
      <c r="E34" s="138" t="s">
        <v>101</v>
      </c>
      <c r="F34" s="144"/>
      <c r="G34" s="144"/>
      <c r="H34" s="151"/>
      <c r="I34" s="146"/>
      <c r="J34" s="144"/>
      <c r="K34" s="147">
        <f>IF(J34="E",0.7,IF(J34="D",0.3,IF(J34="C",0.1,0)))</f>
        <v>0</v>
      </c>
      <c r="L34" s="147">
        <f>IF(I34="רכיב לא קיים",0,I34)</f>
        <v>0</v>
      </c>
      <c r="M34" s="138">
        <f>IF(L34=5,5,K34+L34)</f>
        <v>0</v>
      </c>
      <c r="N34" s="144"/>
      <c r="O34" s="144"/>
      <c r="P34" s="147">
        <f>IF(S34=2,0,IF(S34=1.5,0.3-((M34-1)*0.3/4),IF(S34=1.2,0.6-((M34-1)*0.6/4),1.2-((M34-1)*1.2/4))))</f>
        <v>0.75</v>
      </c>
      <c r="Q34" s="132">
        <f>IF(M34&gt;0,P34,0)</f>
        <v>0</v>
      </c>
      <c r="R34" s="132">
        <f>IF(M34=0,0,IF(M34-Q34&gt;=1,M34-Q34,1))</f>
        <v>0</v>
      </c>
      <c r="S34" s="138">
        <v>1.2</v>
      </c>
      <c r="T34" s="139">
        <f>IF(M34&gt;0,S34,0)</f>
        <v>0</v>
      </c>
      <c r="U34" s="139">
        <f>IF(M34&gt;0,S34*R34,0)</f>
        <v>0</v>
      </c>
      <c r="V34" s="140">
        <f>IF(S34=2,R34,0)</f>
        <v>0</v>
      </c>
      <c r="W34" s="65"/>
      <c r="X34" s="65"/>
      <c r="Y34" s="149" t="s">
        <v>84</v>
      </c>
    </row>
    <row r="35" ht="27" customHeight="1" spans="2:25" x14ac:dyDescent="0.25">
      <c r="B35" s="142">
        <v>3007</v>
      </c>
      <c r="C35" s="143" t="s">
        <v>109</v>
      </c>
      <c r="D35" s="143"/>
      <c r="E35" s="138" t="s">
        <v>101</v>
      </c>
      <c r="F35" s="144"/>
      <c r="G35" s="144"/>
      <c r="H35" s="145" t="s">
        <v>110</v>
      </c>
      <c r="I35" s="146">
        <v>2</v>
      </c>
      <c r="J35" s="144" t="s">
        <v>75</v>
      </c>
      <c r="K35" s="147">
        <f>IF(J35="E",0.7,IF(J35="D",0.3,IF(J35="C",0.1,0)))</f>
        <v>0</v>
      </c>
      <c r="L35" s="147">
        <f>IF(I35="רכיב לא קיים",0,I35)</f>
        <v>2</v>
      </c>
      <c r="M35" s="138">
        <f>IF(L35=5,5,K35+L35)</f>
        <v>2</v>
      </c>
      <c r="N35" s="144"/>
      <c r="O35" s="144"/>
      <c r="P35" s="147">
        <f>IF(S35=2,0,IF(S35=1.5,0.3-((M35-1)*0.3/4),IF(S35=1.2,0.6-((M35-1)*0.6/4),1.2-((M35-1)*1.2/4))))</f>
        <v>0.45</v>
      </c>
      <c r="Q35" s="132">
        <f>IF(M35&gt;0,P35,0)</f>
        <v>0.45</v>
      </c>
      <c r="R35" s="132">
        <f>IF(M35=0,0,IF(M35-Q35&gt;=1,M35-Q35,1))</f>
        <v>1.55</v>
      </c>
      <c r="S35" s="138">
        <v>1.2</v>
      </c>
      <c r="T35" s="139">
        <f>IF(M35&gt;0,S35,0)</f>
        <v>1.2</v>
      </c>
      <c r="U35" s="139">
        <f>IF(M35&gt;0,S35*R35,0)</f>
        <v>1.86</v>
      </c>
      <c r="V35" s="140">
        <f>IF(S35=2,R35,0)</f>
        <v>0</v>
      </c>
      <c r="W35" s="65"/>
      <c r="X35" s="65"/>
      <c r="Y35" s="149"/>
    </row>
    <row r="36" ht="27" customHeight="1" spans="2:25" x14ac:dyDescent="0.25">
      <c r="B36" s="142">
        <v>4001</v>
      </c>
      <c r="C36" s="143" t="s">
        <v>111</v>
      </c>
      <c r="D36" s="143"/>
      <c r="E36" s="138" t="s">
        <v>101</v>
      </c>
      <c r="F36" s="144"/>
      <c r="G36" s="144"/>
      <c r="H36" s="151"/>
      <c r="I36" s="146"/>
      <c r="J36" s="144"/>
      <c r="K36" s="147">
        <f>IF(J36="E",0.7,IF(J36="D",0.3,IF(J36="C",0.1,0)))</f>
        <v>0</v>
      </c>
      <c r="L36" s="147">
        <f>IF(I36="רכיב לא קיים",0,I36)</f>
        <v>0</v>
      </c>
      <c r="M36" s="138">
        <f>IF(L36=5,5,K36+L36)</f>
        <v>0</v>
      </c>
      <c r="N36" s="144"/>
      <c r="O36" s="144"/>
      <c r="P36" s="147">
        <f>IF(S36=2,0,IF(S36=1.5,0.3-((M36-1)*0.3/4),IF(S36=1.2,0.6-((M36-1)*0.6/4),1.2-((M36-1)*1.2/4))))</f>
        <v>0.75</v>
      </c>
      <c r="Q36" s="132">
        <f>IF(M36&gt;0,P36,0)</f>
        <v>0</v>
      </c>
      <c r="R36" s="132">
        <f>IF(M36=0,0,IF(M36-Q36&gt;=1,M36-Q36,1))</f>
        <v>0</v>
      </c>
      <c r="S36" s="138">
        <v>1.2</v>
      </c>
      <c r="T36" s="139">
        <f>IF(M36&gt;0,S36,0)</f>
        <v>0</v>
      </c>
      <c r="U36" s="139">
        <f>IF(M36&gt;0,S36*R36,0)</f>
        <v>0</v>
      </c>
      <c r="V36" s="140">
        <f>IF(S36=2,R36,0)</f>
        <v>0</v>
      </c>
      <c r="W36" s="65"/>
      <c r="X36" s="65"/>
      <c r="Y36" s="149" t="s">
        <v>84</v>
      </c>
    </row>
    <row r="37" ht="27" customHeight="1" spans="2:25" x14ac:dyDescent="0.25">
      <c r="B37" s="142">
        <v>6009</v>
      </c>
      <c r="C37" s="143" t="s">
        <v>112</v>
      </c>
      <c r="D37" s="143"/>
      <c r="E37" s="138" t="s">
        <v>90</v>
      </c>
      <c r="F37" s="144"/>
      <c r="G37" s="144"/>
      <c r="H37" s="145" t="s">
        <v>113</v>
      </c>
      <c r="I37" s="146">
        <v>2</v>
      </c>
      <c r="J37" s="144" t="s">
        <v>75</v>
      </c>
      <c r="K37" s="147">
        <f>IF(J37="E",0.7,IF(J37="D",0.3,IF(J37="C",0.1,0)))</f>
        <v>0</v>
      </c>
      <c r="L37" s="147">
        <f>IF(I37="רכיב לא קיים",0,I37)</f>
        <v>2</v>
      </c>
      <c r="M37" s="138">
        <f>IF(L37=5,5,K37+L37)</f>
        <v>2</v>
      </c>
      <c r="N37" s="144"/>
      <c r="O37" s="144"/>
      <c r="P37" s="147">
        <f>IF(S37=2,0,IF(S37=1.5,0.3-((M37-1)*0.3/4),IF(S37=1.2,0.6-((M37-1)*0.6/4),1.2-((M37-1)*1.2/4))))</f>
        <v>0.225</v>
      </c>
      <c r="Q37" s="132">
        <f>IF(M37&gt;0,P37,0)</f>
        <v>0.225</v>
      </c>
      <c r="R37" s="132">
        <f>IF(M37=0,0,IF(M37-Q37&gt;=1,M37-Q37,1))</f>
        <v>1.775</v>
      </c>
      <c r="S37" s="138">
        <v>1.5</v>
      </c>
      <c r="T37" s="139">
        <f>IF(M37&gt;0,S37,0)</f>
        <v>1.5</v>
      </c>
      <c r="U37" s="139">
        <f>IF(M37&gt;0,S37*R37,0)</f>
        <v>2.6625</v>
      </c>
      <c r="V37" s="140">
        <f>IF(S37=2,R37,0)</f>
        <v>0</v>
      </c>
      <c r="W37" s="65"/>
      <c r="X37" s="65"/>
      <c r="Y37" s="149"/>
    </row>
    <row r="38" ht="27" customHeight="1" spans="2:25" x14ac:dyDescent="0.25">
      <c r="B38" s="142">
        <v>7000</v>
      </c>
      <c r="C38" s="150" t="s">
        <v>114</v>
      </c>
      <c r="D38" s="150"/>
      <c r="E38" s="138" t="s">
        <v>101</v>
      </c>
      <c r="F38" s="144"/>
      <c r="G38" s="144"/>
      <c r="H38" s="145" t="s">
        <v>115</v>
      </c>
      <c r="I38" s="146">
        <v>2</v>
      </c>
      <c r="J38" s="144" t="s">
        <v>75</v>
      </c>
      <c r="K38" s="147">
        <f>IF(J38="E",0.7,IF(J38="D",0.3,IF(J38="C",0.1,0)))</f>
        <v>0</v>
      </c>
      <c r="L38" s="147">
        <f>IF(I38="רכיב לא קיים",0,I38)</f>
        <v>2</v>
      </c>
      <c r="M38" s="138">
        <f>IF(L38=5,5,K38+L38)</f>
        <v>2</v>
      </c>
      <c r="N38" s="144"/>
      <c r="O38" s="144"/>
      <c r="P38" s="147">
        <f>IF(S38=2,0,IF(S38=1.5,0.3-((M38-1)*0.3/4),IF(S38=1.2,0.6-((M38-1)*0.6/4),1.2-((M38-1)*1.2/4))))</f>
        <v>0.45</v>
      </c>
      <c r="Q38" s="132">
        <f>IF(M38&gt;0,P38,0)</f>
        <v>0.45</v>
      </c>
      <c r="R38" s="132">
        <f>IF(M38=0,0,IF(M38-Q38&gt;=1,M38-Q38,1))</f>
        <v>1.55</v>
      </c>
      <c r="S38" s="138">
        <v>1.2</v>
      </c>
      <c r="T38" s="139">
        <f>IF(M38&gt;0,S38,0)</f>
        <v>1.2</v>
      </c>
      <c r="U38" s="139">
        <f>IF(M38&gt;0,S38*R38,0)</f>
        <v>1.86</v>
      </c>
      <c r="V38" s="140">
        <f>IF(S38=2,R38,0)</f>
        <v>0</v>
      </c>
      <c r="W38" s="65"/>
      <c r="X38" s="65"/>
      <c r="Y38" s="149"/>
    </row>
    <row r="39" ht="27" customHeight="1" spans="2:25" x14ac:dyDescent="0.25">
      <c r="B39" s="142">
        <v>7001</v>
      </c>
      <c r="C39" s="153" t="s">
        <v>116</v>
      </c>
      <c r="D39" s="153"/>
      <c r="E39" s="138" t="s">
        <v>117</v>
      </c>
      <c r="F39" s="144"/>
      <c r="G39" s="144"/>
      <c r="H39" s="145" t="s">
        <v>118</v>
      </c>
      <c r="I39" s="146">
        <v>2</v>
      </c>
      <c r="J39" s="144" t="s">
        <v>75</v>
      </c>
      <c r="K39" s="147">
        <f>IF(J39="E",0.7,IF(J39="D",0.3,IF(J39="C",0.1,0)))</f>
        <v>0</v>
      </c>
      <c r="L39" s="147">
        <f>IF(I39="רכיב לא קיים",0,I39)</f>
        <v>2</v>
      </c>
      <c r="M39" s="138">
        <f>IF(L39=5,5,K39+L39)</f>
        <v>2</v>
      </c>
      <c r="N39" s="144"/>
      <c r="O39" s="144"/>
      <c r="P39" s="147">
        <f>IF(S39=2,0,IF(S39=1.5,0.3-((M39-1)*0.3/4),IF(S39=1.2,0.6-((M39-1)*0.6/4),1.2-((M39-1)*1.2/4))))</f>
        <v>0.9</v>
      </c>
      <c r="Q39" s="132">
        <f>IF(M39&gt;0,P39,0)</f>
        <v>0.9</v>
      </c>
      <c r="R39" s="132">
        <f>IF(M39=0,0,IF(M39-Q39&gt;=1,M39-Q39,1))</f>
        <v>1.1</v>
      </c>
      <c r="S39" s="138">
        <v>1</v>
      </c>
      <c r="T39" s="139">
        <f>IF(M39&gt;0,S39,0)</f>
        <v>1</v>
      </c>
      <c r="U39" s="139">
        <f>IF(M39&gt;0,S39*R39,0)</f>
        <v>1.1</v>
      </c>
      <c r="V39" s="140">
        <f>IF(S39=2,R39,0)</f>
        <v>0</v>
      </c>
      <c r="W39" s="65"/>
      <c r="X39" s="65"/>
      <c r="Y39" s="149"/>
    </row>
    <row r="40" ht="27" customHeight="1" spans="2:25" x14ac:dyDescent="0.25">
      <c r="B40" s="142">
        <v>5001</v>
      </c>
      <c r="C40" s="143" t="s">
        <v>119</v>
      </c>
      <c r="D40" s="143"/>
      <c r="E40" s="138" t="s">
        <v>101</v>
      </c>
      <c r="F40" s="144"/>
      <c r="G40" s="144"/>
      <c r="H40" s="151"/>
      <c r="I40" s="146"/>
      <c r="J40" s="144"/>
      <c r="K40" s="147">
        <f>IF(J40="E",0.7,IF(J40="D",0.3,IF(J40="C",0.1,0)))</f>
        <v>0</v>
      </c>
      <c r="L40" s="147">
        <f>IF(I40="רכיב לא קיים",0,I40)</f>
        <v>0</v>
      </c>
      <c r="M40" s="138">
        <f>IF(L40=5,5,K40+L40)</f>
        <v>0</v>
      </c>
      <c r="N40" s="144"/>
      <c r="O40" s="144"/>
      <c r="P40" s="147">
        <f>IF(S40=2,0,IF(S40=1.5,0.3-((M40-1)*0.3/4),IF(S40=1.2,0.6-((M40-1)*0.6/4),1.2-((M40-1)*1.2/4))))</f>
        <v>0.75</v>
      </c>
      <c r="Q40" s="132">
        <f>IF(M40&gt;0,P40,0)</f>
        <v>0</v>
      </c>
      <c r="R40" s="132">
        <f>IF(M40=0,0,IF(M40-Q40&gt;=1,M40-Q40,1))</f>
        <v>0</v>
      </c>
      <c r="S40" s="138">
        <v>1.2</v>
      </c>
      <c r="T40" s="139">
        <f>IF(M40&gt;0,S40,0)</f>
        <v>0</v>
      </c>
      <c r="U40" s="139">
        <f>IF(M40&gt;0,S40*R40,0)</f>
        <v>0</v>
      </c>
      <c r="V40" s="140">
        <f>IF(S40=2,R40,0)</f>
        <v>0</v>
      </c>
      <c r="W40" s="65"/>
      <c r="X40" s="65"/>
      <c r="Y40" s="149" t="s">
        <v>84</v>
      </c>
    </row>
    <row r="41" ht="27" customHeight="1" spans="2:25" x14ac:dyDescent="0.25">
      <c r="B41" s="142">
        <v>5002</v>
      </c>
      <c r="C41" s="143" t="s">
        <v>120</v>
      </c>
      <c r="D41" s="143"/>
      <c r="E41" s="138" t="s">
        <v>101</v>
      </c>
      <c r="F41" s="144"/>
      <c r="G41" s="144"/>
      <c r="H41" s="145" t="s">
        <v>94</v>
      </c>
      <c r="I41" s="146">
        <v>2</v>
      </c>
      <c r="J41" s="144" t="s">
        <v>75</v>
      </c>
      <c r="K41" s="147">
        <f>IF(J41="E",0.7,IF(J41="D",0.3,IF(J41="C",0.1,0)))</f>
        <v>0</v>
      </c>
      <c r="L41" s="147">
        <f>IF(I41="רכיב לא קיים",0,I41)</f>
        <v>2</v>
      </c>
      <c r="M41" s="138">
        <f>IF(L41=5,5,K41+L41)</f>
        <v>2</v>
      </c>
      <c r="N41" s="144"/>
      <c r="O41" s="144"/>
      <c r="P41" s="147">
        <f>IF(S41=2,0,IF(S41=1.5,0.3-((M41-1)*0.3/4),IF(S41=1.2,0.6-((M41-1)*0.6/4),1.2-((M41-1)*1.2/4))))</f>
        <v>0.45</v>
      </c>
      <c r="Q41" s="132">
        <f>IF(M41&gt;0,P41,0)</f>
        <v>0.45</v>
      </c>
      <c r="R41" s="132">
        <f>IF(M41=0,0,IF(M41-Q41&gt;=1,M41-Q41,1))</f>
        <v>1.55</v>
      </c>
      <c r="S41" s="138">
        <v>1.2</v>
      </c>
      <c r="T41" s="139">
        <f>IF(M41&gt;0,S41,0)</f>
        <v>1.2</v>
      </c>
      <c r="U41" s="139">
        <f>IF(M41&gt;0,S41*R41,0)</f>
        <v>1.86</v>
      </c>
      <c r="V41" s="140">
        <f>IF(S41=2,R41,0)</f>
        <v>0</v>
      </c>
      <c r="W41" s="65"/>
      <c r="X41" s="65"/>
      <c r="Y41" s="149"/>
    </row>
    <row r="42" ht="27" customHeight="1" spans="2:25" x14ac:dyDescent="0.25">
      <c r="B42" s="142">
        <v>5003</v>
      </c>
      <c r="C42" s="143" t="s">
        <v>121</v>
      </c>
      <c r="D42" s="143"/>
      <c r="E42" s="138" t="s">
        <v>101</v>
      </c>
      <c r="F42" s="144"/>
      <c r="G42" s="144"/>
      <c r="H42" s="151"/>
      <c r="I42" s="146"/>
      <c r="J42" s="144"/>
      <c r="K42" s="147">
        <f>IF(J42="E",0.7,IF(J42="D",0.3,IF(J42="C",0.1,0)))</f>
        <v>0</v>
      </c>
      <c r="L42" s="147">
        <f>IF(I42="רכיב לא קיים",0,I42)</f>
        <v>0</v>
      </c>
      <c r="M42" s="138">
        <f>IF(L42=5,5,K42+L42)</f>
        <v>0</v>
      </c>
      <c r="N42" s="144"/>
      <c r="O42" s="144"/>
      <c r="P42" s="147">
        <f>IF(S42=2,0,IF(S42=1.5,0.3-((M42-1)*0.3/4),IF(S42=1.2,0.6-((M42-1)*0.6/4),1.2-((M42-1)*1.2/4))))</f>
        <v>0.75</v>
      </c>
      <c r="Q42" s="132">
        <f>IF(M42&gt;0,P42,0)</f>
        <v>0</v>
      </c>
      <c r="R42" s="132">
        <f>IF(M42=0,0,IF(M42-Q42&gt;=1,M42-Q42,1))</f>
        <v>0</v>
      </c>
      <c r="S42" s="138">
        <v>1.2</v>
      </c>
      <c r="T42" s="139">
        <f>IF(M42&gt;0,S42,0)</f>
        <v>0</v>
      </c>
      <c r="U42" s="139">
        <f>IF(M42&gt;0,S42*R42,0)</f>
        <v>0</v>
      </c>
      <c r="V42" s="140">
        <f>IF(S42=2,R42,0)</f>
        <v>0</v>
      </c>
      <c r="W42" s="65"/>
      <c r="X42" s="65"/>
      <c r="Y42" s="149" t="s">
        <v>84</v>
      </c>
    </row>
    <row r="43" ht="27" customHeight="1" spans="2:25" x14ac:dyDescent="0.25">
      <c r="B43" s="142">
        <v>5004</v>
      </c>
      <c r="C43" s="143" t="s">
        <v>122</v>
      </c>
      <c r="D43" s="143"/>
      <c r="E43" s="138" t="s">
        <v>101</v>
      </c>
      <c r="F43" s="144"/>
      <c r="G43" s="144"/>
      <c r="H43" s="151"/>
      <c r="I43" s="146"/>
      <c r="J43" s="144"/>
      <c r="K43" s="147">
        <f>IF(J43="E",0.7,IF(J43="D",0.3,IF(J43="C",0.1,0)))</f>
        <v>0</v>
      </c>
      <c r="L43" s="147">
        <f>IF(I43="רכיב לא קיים",0,I43)</f>
        <v>0</v>
      </c>
      <c r="M43" s="138">
        <f>IF(L43=5,5,K43+L43)</f>
        <v>0</v>
      </c>
      <c r="N43" s="144"/>
      <c r="O43" s="144"/>
      <c r="P43" s="147">
        <f>IF(S43=2,0,IF(S43=1.5,0.3-((M43-1)*0.3/4),IF(S43=1.2,0.6-((M43-1)*0.6/4),1.2-((M43-1)*1.2/4))))</f>
        <v>0.75</v>
      </c>
      <c r="Q43" s="132">
        <f>IF(M43&gt;0,P43,0)</f>
        <v>0</v>
      </c>
      <c r="R43" s="132">
        <f>IF(M43=0,0,IF(M43-Q43&gt;=1,M43-Q43,1))</f>
        <v>0</v>
      </c>
      <c r="S43" s="138">
        <v>1.2</v>
      </c>
      <c r="T43" s="139">
        <f>IF(M43&gt;0,S43,0)</f>
        <v>0</v>
      </c>
      <c r="U43" s="139">
        <f>IF(M43&gt;0,S43*R43,0)</f>
        <v>0</v>
      </c>
      <c r="V43" s="140">
        <f>IF(S43=2,R43,0)</f>
        <v>0</v>
      </c>
      <c r="W43" s="65"/>
      <c r="X43" s="65"/>
      <c r="Y43" s="149" t="s">
        <v>84</v>
      </c>
    </row>
    <row r="44" ht="27" customHeight="1" spans="2:25" x14ac:dyDescent="0.25">
      <c r="B44" s="142">
        <v>5005</v>
      </c>
      <c r="C44" s="143" t="s">
        <v>123</v>
      </c>
      <c r="D44" s="143"/>
      <c r="E44" s="138" t="s">
        <v>117</v>
      </c>
      <c r="F44" s="144"/>
      <c r="G44" s="144"/>
      <c r="H44" s="151"/>
      <c r="I44" s="146"/>
      <c r="J44" s="144"/>
      <c r="K44" s="147">
        <f>IF(J44="E",0.7,IF(J44="D",0.3,IF(J44="C",0.1,0)))</f>
        <v>0</v>
      </c>
      <c r="L44" s="147">
        <f>IF(I44="רכיב לא קיים",0,I44)</f>
        <v>0</v>
      </c>
      <c r="M44" s="138">
        <f>IF(L44=5,5,K44+L44)</f>
        <v>0</v>
      </c>
      <c r="N44" s="144"/>
      <c r="O44" s="144"/>
      <c r="P44" s="147">
        <f>IF(S44=2,0,IF(S44=1.5,0.3-((M44-1)*0.3/4),IF(S44=1.2,0.6-((M44-1)*0.6/4),1.2-((M44-1)*1.2/4))))</f>
        <v>1.5</v>
      </c>
      <c r="Q44" s="132">
        <f>IF(M44&gt;0,P44,0)</f>
        <v>0</v>
      </c>
      <c r="R44" s="132">
        <f>IF(M44=0,0,IF(M44-Q44&gt;=1,M44-Q44,1))</f>
        <v>0</v>
      </c>
      <c r="S44" s="138">
        <v>1</v>
      </c>
      <c r="T44" s="139">
        <f>IF(M44&gt;0,S44,0)</f>
        <v>0</v>
      </c>
      <c r="U44" s="139">
        <f>IF(M44&gt;0,S44*R44,0)</f>
        <v>0</v>
      </c>
      <c r="V44" s="140">
        <f>IF(S44=2,R44,0)</f>
        <v>0</v>
      </c>
      <c r="W44" s="65"/>
      <c r="X44" s="65"/>
      <c r="Y44" s="149" t="s">
        <v>84</v>
      </c>
    </row>
    <row r="45" ht="27" customHeight="1" spans="2:25" x14ac:dyDescent="0.25">
      <c r="B45" s="142">
        <v>5006</v>
      </c>
      <c r="C45" s="150" t="s">
        <v>124</v>
      </c>
      <c r="D45" s="150"/>
      <c r="E45" s="138" t="s">
        <v>90</v>
      </c>
      <c r="F45" s="144"/>
      <c r="G45" s="144"/>
      <c r="H45" s="145"/>
      <c r="I45" s="146"/>
      <c r="J45" s="144"/>
      <c r="K45" s="147">
        <f>IF(J45="E",0.7,IF(J45="D",0.3,IF(J45="C",0.1,0)))</f>
        <v>0</v>
      </c>
      <c r="L45" s="147">
        <f>IF(I45="רכיב לא קיים",0,I45)</f>
        <v>0</v>
      </c>
      <c r="M45" s="138">
        <f>IF(L45=5,5,K45+L45)</f>
        <v>0</v>
      </c>
      <c r="N45" s="144"/>
      <c r="O45" s="144"/>
      <c r="P45" s="147">
        <f>IF(S45=2,0,IF(S45=1.5,0.3-((M45-1)*0.3/4),IF(S45=1.2,0.6-((M45-1)*0.6/4),1.2-((M45-1)*1.2/4))))</f>
        <v>0.375</v>
      </c>
      <c r="Q45" s="132">
        <f>IF(M45&gt;0,P45,0)</f>
        <v>0</v>
      </c>
      <c r="R45" s="132">
        <f>IF(M45=0,0,IF(M45-Q45&gt;=1,M45-Q45,1))</f>
        <v>0</v>
      </c>
      <c r="S45" s="138">
        <v>1.5</v>
      </c>
      <c r="T45" s="139">
        <f>IF(M45&gt;0,S45,0)</f>
        <v>0</v>
      </c>
      <c r="U45" s="139">
        <f>IF(M45&gt;0,S45*R45,0)</f>
        <v>0</v>
      </c>
      <c r="V45" s="140">
        <f>IF(S45=2,R45,0)</f>
        <v>0</v>
      </c>
      <c r="W45" s="65"/>
      <c r="X45" s="65"/>
      <c r="Y45" s="149"/>
    </row>
    <row r="46" ht="27" customHeight="1" spans="2:25" x14ac:dyDescent="0.25">
      <c r="B46" s="142">
        <v>5007</v>
      </c>
      <c r="C46" s="143" t="s">
        <v>125</v>
      </c>
      <c r="D46" s="143"/>
      <c r="E46" s="138" t="s">
        <v>101</v>
      </c>
      <c r="F46" s="144"/>
      <c r="G46" s="144"/>
      <c r="H46" s="151"/>
      <c r="I46" s="146"/>
      <c r="J46" s="144"/>
      <c r="K46" s="147">
        <f>IF(J46="E",0.7,IF(J46="D",0.3,IF(J46="C",0.1,0)))</f>
        <v>0</v>
      </c>
      <c r="L46" s="147">
        <f>IF(I46="רכיב לא קיים",0,I46)</f>
        <v>0</v>
      </c>
      <c r="M46" s="138">
        <f>IF(L46=5,5,K46+L46)</f>
        <v>0</v>
      </c>
      <c r="N46" s="144"/>
      <c r="O46" s="144"/>
      <c r="P46" s="147">
        <f>IF(S46=2,0,IF(S46=1.5,0.3-((M46-1)*0.3/4),IF(S46=1.2,0.6-((M46-1)*0.6/4),1.2-((M46-1)*1.2/4))))</f>
        <v>0.75</v>
      </c>
      <c r="Q46" s="132">
        <f>IF(M46&gt;0,P46,0)</f>
        <v>0</v>
      </c>
      <c r="R46" s="132">
        <f>IF(M46=0,0,IF(M46-Q46&gt;=1,M46-Q46,1))</f>
        <v>0</v>
      </c>
      <c r="S46" s="138">
        <v>1.2</v>
      </c>
      <c r="T46" s="139">
        <f>IF(M46&gt;0,S46,0)</f>
        <v>0</v>
      </c>
      <c r="U46" s="139">
        <f>IF(M46&gt;0,S46*R46,0)</f>
        <v>0</v>
      </c>
      <c r="V46" s="140">
        <f>IF(S46=2,R46,0)</f>
        <v>0</v>
      </c>
      <c r="W46" s="65"/>
      <c r="X46" s="65"/>
      <c r="Y46" s="149" t="s">
        <v>84</v>
      </c>
    </row>
    <row r="47" ht="27" customHeight="1" spans="2:25" x14ac:dyDescent="0.25">
      <c r="B47" s="142">
        <v>5008</v>
      </c>
      <c r="C47" s="150" t="s">
        <v>126</v>
      </c>
      <c r="D47" s="150"/>
      <c r="E47" s="138" t="s">
        <v>117</v>
      </c>
      <c r="F47" s="144"/>
      <c r="G47" s="144"/>
      <c r="H47" s="145"/>
      <c r="I47" s="146"/>
      <c r="J47" s="144"/>
      <c r="K47" s="147">
        <f>IF(J47="E",0.7,IF(J47="D",0.3,IF(J47="C",0.1,0)))</f>
        <v>0</v>
      </c>
      <c r="L47" s="147">
        <f>IF(I47="רכיב לא קיים",0,I47)</f>
        <v>0</v>
      </c>
      <c r="M47" s="138">
        <f>IF(L47=5,5,K47+L47)</f>
        <v>0</v>
      </c>
      <c r="N47" s="144"/>
      <c r="O47" s="144"/>
      <c r="P47" s="147">
        <f>IF(S47=2,0,IF(S47=1.5,0.3-((M47-1)*0.3/4),IF(S47=1.2,0.6-((M47-1)*0.6/4),1.2-((M47-1)*1.2/4))))</f>
        <v>1.5</v>
      </c>
      <c r="Q47" s="132">
        <f>IF(M47&gt;0,P47,0)</f>
        <v>0</v>
      </c>
      <c r="R47" s="132">
        <f>IF(M47=0,0,IF(M47-Q47&gt;=1,M47-Q47,1))</f>
        <v>0</v>
      </c>
      <c r="S47" s="138">
        <v>1</v>
      </c>
      <c r="T47" s="139">
        <f>IF(M47&gt;0,S47,0)</f>
        <v>0</v>
      </c>
      <c r="U47" s="139">
        <f>IF(M47&gt;0,S47*R47,0)</f>
        <v>0</v>
      </c>
      <c r="V47" s="140">
        <f>IF(S47=2,R47,0)</f>
        <v>0</v>
      </c>
      <c r="W47" s="65"/>
      <c r="X47" s="65"/>
      <c r="Y47" s="149" t="s">
        <v>84</v>
      </c>
    </row>
    <row r="48" ht="27" customHeight="1" spans="2:25" x14ac:dyDescent="0.25">
      <c r="B48" s="154">
        <v>3004</v>
      </c>
      <c r="C48" s="155" t="s">
        <v>127</v>
      </c>
      <c r="D48" s="155"/>
      <c r="E48" s="156" t="s">
        <v>101</v>
      </c>
      <c r="F48" s="157"/>
      <c r="G48" s="157"/>
      <c r="H48" s="158"/>
      <c r="I48" s="159"/>
      <c r="J48" s="157"/>
      <c r="K48" s="160">
        <f>IF(J48="E",0.7,IF(J48="D",0.3,IF(J48="C",0.1,0)))</f>
        <v>0</v>
      </c>
      <c r="L48" s="160">
        <f>IF(I48="רכיב לא קיים",0,I48)</f>
        <v>0</v>
      </c>
      <c r="M48" s="156">
        <f>IF(L48=5,5,K48+L48)</f>
        <v>0</v>
      </c>
      <c r="N48" s="157"/>
      <c r="O48" s="157"/>
      <c r="P48" s="160">
        <f>IF(S48=2,0,IF(S48=1.5,0.3-((M48-1)*0.3/4),IF(S48=1.2,0.6-((M48-1)*0.6/4),1.2-((M48-1)*1.2/4))))</f>
        <v>0.75</v>
      </c>
      <c r="Q48" s="161">
        <f>IF(M48&gt;0,P48,0)</f>
        <v>0</v>
      </c>
      <c r="R48" s="161">
        <f>IF(M48=0,0,IF(M48-Q48&gt;=1,M48-Q48,1))</f>
        <v>0</v>
      </c>
      <c r="S48" s="156">
        <v>1.2</v>
      </c>
      <c r="T48" s="139">
        <f>IF(M48&gt;0,S48,0)</f>
        <v>0</v>
      </c>
      <c r="U48" s="139">
        <f>IF(M48&gt;0,S48*R48,0)</f>
        <v>0</v>
      </c>
      <c r="V48" s="140">
        <f>IF(S48=2,R48,0)</f>
        <v>0</v>
      </c>
      <c r="W48" s="109"/>
      <c r="X48" s="109"/>
      <c r="Y48" s="149"/>
    </row>
    <row r="49" ht="13.5" customHeight="1" spans="3:20" x14ac:dyDescent="0.25">
      <c r="C49" s="162"/>
      <c r="D49" s="6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63"/>
      <c r="R49" s="163"/>
      <c r="S49" s="105"/>
      <c r="T49" s="164"/>
    </row>
    <row r="50" ht="19.5" customHeight="1" spans="3:15" x14ac:dyDescent="0.25">
      <c r="C50" s="165"/>
      <c r="D50" s="166"/>
      <c r="E50" s="167"/>
      <c r="F50" s="168" t="s">
        <v>128</v>
      </c>
      <c r="G50" s="169"/>
      <c r="H50" s="169"/>
      <c r="I50" s="170"/>
      <c r="J50" s="171"/>
      <c r="K50" s="164"/>
      <c r="L50" s="164"/>
      <c r="N50" s="172"/>
      <c r="O50" s="172"/>
    </row>
    <row r="51" ht="13.5" customHeight="1" spans="3:19" x14ac:dyDescent="0.25">
      <c r="C51" s="173"/>
      <c r="D51" s="174"/>
      <c r="E51" s="174"/>
      <c r="F51" s="174"/>
      <c r="G51" s="174"/>
      <c r="H51" s="175"/>
      <c r="I51" s="175"/>
      <c r="J51" s="176"/>
      <c r="K51" s="164"/>
      <c r="L51" s="164"/>
      <c r="N51" s="164"/>
      <c r="O51" s="164"/>
      <c r="S51" s="164"/>
    </row>
    <row r="52" ht="16.5" customHeight="1" spans="3:19" x14ac:dyDescent="0.25">
      <c r="C52" s="177">
        <f>SUM(U15:U48)/SUM(T15:T48)</f>
        <v>1.71081081081081</v>
      </c>
      <c r="D52" s="178" t="s">
        <v>129</v>
      </c>
      <c r="E52" s="178"/>
      <c r="F52" s="178"/>
      <c r="G52" s="179" t="s">
        <v>130</v>
      </c>
      <c r="H52" s="180"/>
      <c r="I52" s="181"/>
      <c r="J52" s="176"/>
      <c r="K52" s="164"/>
      <c r="L52" s="164"/>
      <c r="S52" s="164"/>
    </row>
    <row r="53" ht="15" customHeight="1" spans="3:19" x14ac:dyDescent="0.25">
      <c r="C53" s="182"/>
      <c r="D53" s="181"/>
      <c r="E53" s="183"/>
      <c r="F53" s="183"/>
      <c r="G53" s="183"/>
      <c r="H53" s="183"/>
      <c r="I53" s="183"/>
      <c r="J53" s="176"/>
      <c r="K53" s="164"/>
      <c r="L53" s="164"/>
      <c r="M53" s="164"/>
      <c r="N53" s="164"/>
      <c r="O53" s="164"/>
      <c r="R53" s="164"/>
      <c r="S53" s="164"/>
    </row>
    <row r="54" ht="13.5" customHeight="1" spans="3:19" x14ac:dyDescent="0.25">
      <c r="C54" s="173"/>
      <c r="D54" s="184"/>
      <c r="E54" s="184"/>
      <c r="F54" s="184"/>
      <c r="G54" s="184"/>
      <c r="H54" s="184"/>
      <c r="I54" s="184"/>
      <c r="J54" s="176"/>
      <c r="K54" s="164"/>
      <c r="L54" s="164"/>
      <c r="M54" s="164"/>
      <c r="N54" s="164"/>
      <c r="O54" s="164"/>
      <c r="R54" s="164"/>
      <c r="S54" s="164"/>
    </row>
    <row r="55" ht="16.5" customHeight="1" spans="3:19" x14ac:dyDescent="0.25">
      <c r="C55" s="185">
        <f>MAX(V15:V48)</f>
        <v>2</v>
      </c>
      <c r="D55" s="186" t="s">
        <v>131</v>
      </c>
      <c r="E55" s="186"/>
      <c r="F55" s="186"/>
      <c r="G55" s="186"/>
      <c r="H55" s="187" t="s">
        <v>132</v>
      </c>
      <c r="I55" s="184"/>
      <c r="J55" s="188"/>
      <c r="K55" s="189"/>
      <c r="L55" s="190"/>
      <c r="M55" s="191"/>
      <c r="N55" s="164"/>
      <c r="O55" s="164"/>
      <c r="R55" s="164"/>
      <c r="S55" s="164"/>
    </row>
    <row r="56" ht="13.5" customHeight="1" spans="3:19" x14ac:dyDescent="0.25">
      <c r="C56" s="192"/>
      <c r="D56" s="174"/>
      <c r="E56" s="174"/>
      <c r="F56" s="174"/>
      <c r="G56" s="174"/>
      <c r="H56" s="174"/>
      <c r="I56" s="174"/>
      <c r="J56" s="184"/>
      <c r="K56" s="164"/>
      <c r="L56" s="164"/>
      <c r="M56" s="191"/>
      <c r="N56" s="164"/>
      <c r="O56" s="164"/>
      <c r="R56" s="164"/>
      <c r="S56" s="164"/>
    </row>
    <row r="57" ht="13.5" customHeight="1" spans="3:19" x14ac:dyDescent="0.25">
      <c r="C57" s="164"/>
      <c r="D57" s="164"/>
      <c r="E57" s="164"/>
      <c r="F57" s="164"/>
      <c r="G57" s="164"/>
      <c r="H57" s="164"/>
      <c r="I57" s="193"/>
      <c r="J57" s="164"/>
      <c r="K57" s="164"/>
      <c r="L57" s="164"/>
      <c r="M57" s="164"/>
      <c r="N57" s="164"/>
      <c r="O57" s="164"/>
      <c r="R57" s="164"/>
      <c r="S57" s="164"/>
    </row>
    <row r="58" ht="18.75" customHeight="1" spans="3:19" x14ac:dyDescent="0.25">
      <c r="C58" s="194"/>
      <c r="D58" s="194"/>
      <c r="E58" s="195" t="s">
        <v>133</v>
      </c>
      <c r="F58" s="195"/>
      <c r="G58" s="195"/>
      <c r="H58" s="195"/>
      <c r="I58" s="167"/>
      <c r="J58" s="196"/>
      <c r="K58" s="65"/>
      <c r="L58" s="65"/>
      <c r="M58" s="65"/>
      <c r="N58" s="65"/>
      <c r="O58" s="65"/>
      <c r="R58" s="164"/>
      <c r="S58" s="164"/>
    </row>
    <row r="59" ht="13.5" customHeight="1" spans="3:15" x14ac:dyDescent="0.25">
      <c r="C59" s="180"/>
      <c r="D59" s="197"/>
      <c r="E59" s="197"/>
      <c r="F59" s="197"/>
      <c r="G59" s="197"/>
      <c r="H59" s="197"/>
      <c r="I59" s="197"/>
      <c r="J59" s="198"/>
      <c r="K59" s="65"/>
      <c r="L59" s="65"/>
      <c r="M59" s="65"/>
      <c r="N59" s="65"/>
      <c r="O59" s="65"/>
    </row>
    <row r="60" ht="18.75" customHeight="1" spans="3:17" x14ac:dyDescent="0.25">
      <c r="C60" s="60">
        <f>100-(2*((C52*C52)+(6.5*C52)-7.5))</f>
        <v>86.9057121986852</v>
      </c>
      <c r="D60" s="199" t="s">
        <v>134</v>
      </c>
      <c r="E60" s="199"/>
      <c r="F60" s="199"/>
      <c r="G60" s="199"/>
      <c r="H60" s="200" t="s">
        <v>135</v>
      </c>
      <c r="I60" s="201"/>
      <c r="J60" s="202"/>
      <c r="K60" s="65"/>
      <c r="L60" s="65"/>
      <c r="M60" s="65"/>
      <c r="N60" s="65"/>
      <c r="O60" s="65"/>
      <c r="P60" s="65"/>
      <c r="Q60" s="65"/>
    </row>
    <row r="61" ht="12.75" customHeight="1" spans="3:15" x14ac:dyDescent="0.25">
      <c r="C61" s="180"/>
      <c r="D61" s="203"/>
      <c r="E61" s="203"/>
      <c r="F61" s="203"/>
      <c r="G61" s="203"/>
      <c r="H61" s="203"/>
      <c r="I61" s="203"/>
      <c r="J61" s="198"/>
      <c r="K61" s="65"/>
      <c r="L61" s="65"/>
      <c r="M61" s="65"/>
      <c r="N61" s="65"/>
      <c r="O61" s="65"/>
    </row>
    <row r="62" ht="15.75" customHeight="1" spans="3:15" x14ac:dyDescent="0.25">
      <c r="C62" s="204"/>
      <c r="D62" s="204"/>
      <c r="E62" s="203"/>
      <c r="F62" s="203"/>
      <c r="G62" s="203"/>
      <c r="H62" s="203"/>
      <c r="I62" s="203"/>
      <c r="J62" s="198"/>
      <c r="K62" s="65"/>
      <c r="L62" s="65"/>
      <c r="M62" s="65"/>
      <c r="N62" s="65"/>
      <c r="O62" s="65"/>
    </row>
    <row r="63" ht="18.75" customHeight="1" spans="3:15" x14ac:dyDescent="0.25">
      <c r="C63" s="205">
        <f>100-(2*((C55*C55)+(6.5*C55)-7.5))</f>
        <v>81</v>
      </c>
      <c r="D63" s="206" t="s">
        <v>136</v>
      </c>
      <c r="E63" s="206"/>
      <c r="F63" s="206"/>
      <c r="G63" s="206"/>
      <c r="H63" s="200" t="s">
        <v>137</v>
      </c>
      <c r="I63" s="207"/>
      <c r="J63" s="198"/>
      <c r="K63" s="208"/>
      <c r="L63" s="208"/>
      <c r="M63" s="65"/>
      <c r="N63" s="65"/>
      <c r="O63" s="65"/>
    </row>
    <row r="64" ht="13.5" customHeight="1" spans="3:14" x14ac:dyDescent="0.25">
      <c r="C64" s="209"/>
      <c r="D64" s="210"/>
      <c r="E64" s="210"/>
      <c r="F64" s="210"/>
      <c r="G64" s="210"/>
      <c r="H64" s="210"/>
      <c r="I64" s="197"/>
      <c r="J64" s="211"/>
      <c r="K64" s="65"/>
      <c r="L64" s="65"/>
      <c r="M64" s="65"/>
      <c r="N64" s="65"/>
    </row>
  </sheetData>
  <mergeCells count="138">
    <mergeCell ref="B3:C3"/>
    <mergeCell ref="D3:F3"/>
    <mergeCell ref="H3:M3"/>
    <mergeCell ref="N3:O3"/>
    <mergeCell ref="B4:C4"/>
    <mergeCell ref="D4:F4"/>
    <mergeCell ref="H4:M4"/>
    <mergeCell ref="N4:Q4"/>
    <mergeCell ref="R4:S4"/>
    <mergeCell ref="B5:H5"/>
    <mergeCell ref="M5:Y5"/>
    <mergeCell ref="B7:D7"/>
    <mergeCell ref="E7:F7"/>
    <mergeCell ref="M7:N7"/>
    <mergeCell ref="O7:P7"/>
    <mergeCell ref="R7:S7"/>
    <mergeCell ref="B9:Y9"/>
    <mergeCell ref="C11:D11"/>
    <mergeCell ref="F11:G11"/>
    <mergeCell ref="N11:O11"/>
    <mergeCell ref="C12:D12"/>
    <mergeCell ref="F12:G12"/>
    <mergeCell ref="N12:O12"/>
    <mergeCell ref="C13:D13"/>
    <mergeCell ref="F13:G13"/>
    <mergeCell ref="N13:O13"/>
    <mergeCell ref="C14:D14"/>
    <mergeCell ref="F14:G14"/>
    <mergeCell ref="N14:O14"/>
    <mergeCell ref="C15:D15"/>
    <mergeCell ref="F15:G15"/>
    <mergeCell ref="N15:O15"/>
    <mergeCell ref="C16:D16"/>
    <mergeCell ref="F16:G16"/>
    <mergeCell ref="N16:O16"/>
    <mergeCell ref="C17:D17"/>
    <mergeCell ref="F17:G17"/>
    <mergeCell ref="N17:O17"/>
    <mergeCell ref="C18:D18"/>
    <mergeCell ref="F18:G18"/>
    <mergeCell ref="N18:O18"/>
    <mergeCell ref="C19:D19"/>
    <mergeCell ref="F19:G19"/>
    <mergeCell ref="N19:O19"/>
    <mergeCell ref="C20:D20"/>
    <mergeCell ref="F20:G20"/>
    <mergeCell ref="N20:O20"/>
    <mergeCell ref="C21:D21"/>
    <mergeCell ref="F21:G21"/>
    <mergeCell ref="N21:O21"/>
    <mergeCell ref="C22:D22"/>
    <mergeCell ref="F22:G22"/>
    <mergeCell ref="N22:O22"/>
    <mergeCell ref="C23:D23"/>
    <mergeCell ref="F23:G23"/>
    <mergeCell ref="N23:O23"/>
    <mergeCell ref="C24:D24"/>
    <mergeCell ref="F24:G24"/>
    <mergeCell ref="N24:O24"/>
    <mergeCell ref="C25:D25"/>
    <mergeCell ref="F25:G25"/>
    <mergeCell ref="N25:O25"/>
    <mergeCell ref="C26:D26"/>
    <mergeCell ref="F26:G26"/>
    <mergeCell ref="N26:O26"/>
    <mergeCell ref="C27:D27"/>
    <mergeCell ref="F27:G27"/>
    <mergeCell ref="N27:O27"/>
    <mergeCell ref="C28:D28"/>
    <mergeCell ref="F28:G28"/>
    <mergeCell ref="N28:O28"/>
    <mergeCell ref="C29:D29"/>
    <mergeCell ref="F29:G29"/>
    <mergeCell ref="N29:O29"/>
    <mergeCell ref="C30:D30"/>
    <mergeCell ref="F30:G30"/>
    <mergeCell ref="N30:O30"/>
    <mergeCell ref="C31:D31"/>
    <mergeCell ref="F31:G31"/>
    <mergeCell ref="N31:O31"/>
    <mergeCell ref="C32:D32"/>
    <mergeCell ref="F32:G32"/>
    <mergeCell ref="N32:O32"/>
    <mergeCell ref="C33:D33"/>
    <mergeCell ref="F33:G33"/>
    <mergeCell ref="N33:O33"/>
    <mergeCell ref="C34:D34"/>
    <mergeCell ref="F34:G34"/>
    <mergeCell ref="N34:O34"/>
    <mergeCell ref="C35:D35"/>
    <mergeCell ref="F35:G35"/>
    <mergeCell ref="N35:O35"/>
    <mergeCell ref="C36:D36"/>
    <mergeCell ref="F36:G36"/>
    <mergeCell ref="N36:O36"/>
    <mergeCell ref="C37:D37"/>
    <mergeCell ref="F37:G37"/>
    <mergeCell ref="N37:O37"/>
    <mergeCell ref="C38:D38"/>
    <mergeCell ref="F38:G38"/>
    <mergeCell ref="N38:O38"/>
    <mergeCell ref="C39:D39"/>
    <mergeCell ref="F39:G39"/>
    <mergeCell ref="N39:O39"/>
    <mergeCell ref="C40:D40"/>
    <mergeCell ref="F40:G40"/>
    <mergeCell ref="N40:O40"/>
    <mergeCell ref="C41:D41"/>
    <mergeCell ref="F41:G41"/>
    <mergeCell ref="N41:O41"/>
    <mergeCell ref="C42:D42"/>
    <mergeCell ref="F42:G42"/>
    <mergeCell ref="N42:O42"/>
    <mergeCell ref="C43:D43"/>
    <mergeCell ref="F43:G43"/>
    <mergeCell ref="N43:O43"/>
    <mergeCell ref="C44:D44"/>
    <mergeCell ref="F44:G44"/>
    <mergeCell ref="N44:O44"/>
    <mergeCell ref="C45:D45"/>
    <mergeCell ref="F45:G45"/>
    <mergeCell ref="N45:O45"/>
    <mergeCell ref="C46:D46"/>
    <mergeCell ref="F46:G46"/>
    <mergeCell ref="N46:O46"/>
    <mergeCell ref="C47:D47"/>
    <mergeCell ref="F47:G47"/>
    <mergeCell ref="N47:O47"/>
    <mergeCell ref="C48:D48"/>
    <mergeCell ref="F48:G48"/>
    <mergeCell ref="N48:O48"/>
    <mergeCell ref="D52:F52"/>
    <mergeCell ref="D55:G55"/>
    <mergeCell ref="C58:D58"/>
    <mergeCell ref="E58:H58"/>
    <mergeCell ref="D60:G60"/>
    <mergeCell ref="C62:D62"/>
    <mergeCell ref="D63:G63"/>
  </mergeCells>
  <dataValidations count="5">
    <dataValidation type="list" allowBlank="1" showInputMessage="1" prompt="לחץ לקבלת רשימת הערכים" showErrorMessage="1" errorStyle="stop" sqref="I13:I15">
      <formula1>$W$13:$W$17</formula1>
      <formula2>0</formula2>
    </dataValidation>
    <dataValidation type="list" allowBlank="1" showInputMessage="1" prompt="לחץ לקבלת רשימת הערכים" showErrorMessage="1" errorStyle="stop" sqref="I16:I48">
      <formula1>$W$15:$W$19</formula1>
      <formula2>0</formula2>
    </dataValidation>
    <dataValidation type="list" allowBlank="1" showErrorMessage="1" errorStyle="stop" sqref="I5">
      <formula1>$AC$11:$AC$21</formula1>
      <formula2>0</formula2>
    </dataValidation>
    <dataValidation type="list" allowBlank="1" showInputMessage="1" prompt="לחץ לקבלת רשימת ערכים " showErrorMessage="1" errorStyle="stop" sqref="J13:J15">
      <formula1>$X$13:$X$15</formula1>
      <formula2>0</formula2>
    </dataValidation>
    <dataValidation type="list" allowBlank="1" showInputMessage="1" prompt="לחץ לקבלת רשימת ערכים " showErrorMessage="1" errorStyle="stop" sqref="J16:J48">
      <formula1>$X$15:$X$17</formula1>
      <formula2>0</formula2>
    </dataValidation>
  </dataValidations>
  <pageMargins left="0.7" right="0.7" top="0.75" bottom="0.75" header="0.3" footer="0.3"/>
  <pageSetup paperSize="9" orientation="portrait" horizontalDpi="300" verticalDpi="300" scale="100" fitToWidth="1" fitToHeight="0" firstPageNumber="1" useFirstPageNumber="1" copies="1"/>
  <headerFooter>
    <oddHeader>&amp;L&amp;D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4"/>
  <sheetViews>
    <sheetView workbookViewId="0" zoomScale="100" zoomScaleNormal="100" view="pageBreakPreview">
      <selection activeCell="H44" sqref="H44"/>
    </sheetView>
  </sheetViews>
  <sheetFormatPr defaultRowHeight="12.75" outlineLevelRow="0" outlineLevelCol="0" x14ac:dyDescent="0" defaultColWidth="9.13671875" customHeight="1"/>
  <cols>
    <col min="1" max="1" width="2.7" style="65" customWidth="1"/>
    <col min="2" max="2" width="8.56" style="65" customWidth="1"/>
    <col min="3" max="3" width="9.7" style="65" customWidth="1"/>
    <col min="4" max="4" width="11.99" style="65" customWidth="1"/>
    <col min="5" max="5" width="9.7" style="65" customWidth="1"/>
    <col min="6" max="6" width="5.28" style="65" customWidth="1"/>
    <col min="7" max="7" width="10.56" style="65" customWidth="1"/>
    <col min="8" max="8" width="8.85" style="65" customWidth="1"/>
    <col min="9" max="9" width="10.99" style="65" customWidth="1"/>
    <col min="10" max="10" width="8.41" style="65" customWidth="1"/>
    <col min="11" max="11" width="9.85" style="65" hidden="1" customWidth="1"/>
    <col min="12" max="12" width="9.7" style="65" hidden="1" customWidth="1"/>
    <col min="13" max="13" width="5.85" style="65" customWidth="1"/>
    <col min="14" max="14" width="5.28" style="65" customWidth="1"/>
    <col min="15" max="15" width="7.28" style="65" customWidth="1"/>
    <col min="16" max="16" width="7.56" style="65" hidden="1" customWidth="1"/>
    <col min="17" max="17" width="7.56" style="65" customWidth="1"/>
    <col min="18" max="18" width="7.99" style="65" customWidth="1"/>
    <col min="19" max="19" width="7.56" style="65" customWidth="1"/>
    <col min="20" max="22" width="9.06" style="65" hidden="1" customWidth="1"/>
    <col min="23" max="23" width="10.28" style="65" hidden="1" customWidth="1"/>
    <col min="24" max="24" width="9.06" style="65" hidden="1" customWidth="1"/>
    <col min="25" max="25" width="13.85" style="65" customWidth="1"/>
    <col min="26" max="26" width="2.7" style="65" customWidth="1"/>
    <col min="27" max="28" width="9.14" style="65" customWidth="1"/>
    <col min="29" max="29" width="9.06" style="65" hidden="1" customWidth="1"/>
    <col min="30" max="257" width="9.14" style="65" customWidth="1"/>
  </cols>
  <sheetData>
    <row r="1" ht="18" customHeight="1" spans="1:257" x14ac:dyDescent="0.25">
      <c r="A1" s="66"/>
      <c r="B1" s="67" t="s">
        <v>35</v>
      </c>
      <c r="C1" s="68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</row>
    <row r="2" ht="13.5" customHeight="1" spans="1:257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  <c r="GT2" s="66"/>
      <c r="GU2" s="66"/>
      <c r="GV2" s="66"/>
      <c r="GW2" s="66"/>
      <c r="GX2" s="66"/>
      <c r="GY2" s="66"/>
      <c r="GZ2" s="66"/>
      <c r="HA2" s="66"/>
      <c r="HB2" s="66"/>
      <c r="HC2" s="66"/>
      <c r="HD2" s="66"/>
      <c r="HE2" s="66"/>
      <c r="HF2" s="66"/>
      <c r="HG2" s="66"/>
      <c r="HH2" s="66"/>
      <c r="HI2" s="66"/>
      <c r="HJ2" s="66"/>
      <c r="HK2" s="66"/>
      <c r="HL2" s="66"/>
      <c r="HM2" s="66"/>
      <c r="HN2" s="66"/>
      <c r="HO2" s="66"/>
      <c r="HP2" s="66"/>
      <c r="HQ2" s="66"/>
      <c r="HR2" s="66"/>
      <c r="HS2" s="66"/>
      <c r="HT2" s="66"/>
      <c r="HU2" s="66"/>
      <c r="HV2" s="66"/>
      <c r="HW2" s="66"/>
      <c r="HX2" s="66"/>
      <c r="HY2" s="66"/>
      <c r="HZ2" s="66"/>
      <c r="IA2" s="66"/>
      <c r="IB2" s="66"/>
      <c r="IC2" s="66"/>
      <c r="ID2" s="66"/>
      <c r="IE2" s="66"/>
      <c r="IF2" s="66"/>
      <c r="IG2" s="66"/>
      <c r="IH2" s="66"/>
      <c r="II2" s="66"/>
      <c r="IJ2" s="66"/>
      <c r="IK2" s="66"/>
      <c r="IL2" s="66"/>
      <c r="IM2" s="66"/>
      <c r="IN2" s="66"/>
      <c r="IO2" s="66"/>
      <c r="IP2" s="66"/>
      <c r="IQ2" s="66"/>
      <c r="IR2" s="66"/>
      <c r="IS2" s="66"/>
      <c r="IT2" s="66"/>
      <c r="IU2" s="66"/>
      <c r="IV2" s="66"/>
      <c r="IW2" s="66"/>
    </row>
    <row r="3" ht="14.25" customHeight="1" spans="1:257" x14ac:dyDescent="0.25">
      <c r="A3" s="66"/>
      <c r="B3" s="70" t="s">
        <v>1</v>
      </c>
      <c r="C3" s="70"/>
      <c r="D3" s="71">
        <v>13</v>
      </c>
      <c r="E3" s="71"/>
      <c r="F3" s="71"/>
      <c r="G3" s="72" t="s">
        <v>2</v>
      </c>
      <c r="H3" s="73" t="s">
        <v>3</v>
      </c>
      <c r="I3" s="73"/>
      <c r="J3" s="73"/>
      <c r="K3" s="73"/>
      <c r="L3" s="73"/>
      <c r="M3" s="73"/>
      <c r="N3" s="74"/>
      <c r="O3" s="74"/>
      <c r="P3" s="75"/>
      <c r="Q3" s="75"/>
      <c r="R3" s="76"/>
      <c r="S3" s="75"/>
      <c r="T3" s="77"/>
      <c r="U3" s="78"/>
      <c r="V3" s="79"/>
      <c r="W3" s="79"/>
      <c r="X3" s="79"/>
      <c r="Y3" s="80"/>
      <c r="Z3" s="81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/>
      <c r="FG3" s="66"/>
      <c r="FH3" s="66"/>
      <c r="FI3" s="66"/>
      <c r="FJ3" s="66"/>
      <c r="FK3" s="66"/>
      <c r="FL3" s="66"/>
      <c r="FM3" s="66"/>
      <c r="FN3" s="66"/>
      <c r="FO3" s="66"/>
      <c r="FP3" s="66"/>
      <c r="FQ3" s="66"/>
      <c r="FR3" s="66"/>
      <c r="FS3" s="66"/>
      <c r="FT3" s="6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6"/>
      <c r="GL3" s="66"/>
      <c r="GM3" s="66"/>
      <c r="GN3" s="66"/>
      <c r="GO3" s="66"/>
      <c r="GP3" s="66"/>
      <c r="GQ3" s="66"/>
      <c r="GR3" s="66"/>
      <c r="GS3" s="66"/>
      <c r="GT3" s="66"/>
      <c r="GU3" s="66"/>
      <c r="GV3" s="66"/>
      <c r="GW3" s="66"/>
      <c r="GX3" s="66"/>
      <c r="GY3" s="66"/>
      <c r="GZ3" s="66"/>
      <c r="HA3" s="66"/>
      <c r="HB3" s="66"/>
      <c r="HC3" s="66"/>
      <c r="HD3" s="66"/>
      <c r="HE3" s="66"/>
      <c r="HF3" s="66"/>
      <c r="HG3" s="66"/>
      <c r="HH3" s="66"/>
      <c r="HI3" s="66"/>
      <c r="HJ3" s="66"/>
      <c r="HK3" s="66"/>
      <c r="HL3" s="66"/>
      <c r="HM3" s="66"/>
      <c r="HN3" s="66"/>
      <c r="HO3" s="66"/>
      <c r="HP3" s="66"/>
      <c r="HQ3" s="66"/>
      <c r="HR3" s="66"/>
      <c r="HS3" s="66"/>
      <c r="HT3" s="66"/>
      <c r="HU3" s="66"/>
      <c r="HV3" s="66"/>
      <c r="HW3" s="66"/>
      <c r="HX3" s="66"/>
      <c r="HY3" s="66"/>
      <c r="HZ3" s="66"/>
      <c r="IA3" s="66"/>
      <c r="IB3" s="66"/>
      <c r="IC3" s="66"/>
      <c r="ID3" s="66"/>
      <c r="IE3" s="66"/>
      <c r="IF3" s="66"/>
      <c r="IG3" s="66"/>
      <c r="IH3" s="66"/>
      <c r="II3" s="66"/>
      <c r="IJ3" s="66"/>
      <c r="IK3" s="66"/>
      <c r="IL3" s="66"/>
      <c r="IM3" s="66"/>
      <c r="IN3" s="66"/>
      <c r="IO3" s="66"/>
      <c r="IP3" s="66"/>
      <c r="IQ3" s="66"/>
      <c r="IR3" s="66"/>
      <c r="IS3" s="66"/>
      <c r="IT3" s="66"/>
      <c r="IU3" s="66"/>
      <c r="IV3" s="66"/>
      <c r="IW3" s="66"/>
    </row>
    <row r="4" ht="14.25" customHeight="1" spans="1:257" x14ac:dyDescent="0.25">
      <c r="A4" s="66"/>
      <c r="B4" s="82" t="s">
        <v>4</v>
      </c>
      <c r="C4" s="82"/>
      <c r="D4" s="83" t="s">
        <v>5</v>
      </c>
      <c r="E4" s="83"/>
      <c r="F4" s="83"/>
      <c r="G4" s="84" t="s">
        <v>6</v>
      </c>
      <c r="H4" s="17" t="s">
        <v>7</v>
      </c>
      <c r="I4" s="17"/>
      <c r="J4" s="17"/>
      <c r="K4" s="17"/>
      <c r="L4" s="17"/>
      <c r="M4" s="17"/>
      <c r="N4" s="85" t="s">
        <v>8</v>
      </c>
      <c r="O4" s="85"/>
      <c r="P4" s="85"/>
      <c r="Q4" s="85"/>
      <c r="R4" s="86">
        <v>43148</v>
      </c>
      <c r="S4" s="86"/>
      <c r="T4" s="87"/>
      <c r="U4" s="87"/>
      <c r="V4" s="88"/>
      <c r="W4" s="88"/>
      <c r="X4" s="88"/>
      <c r="Y4" s="89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66"/>
      <c r="DZ4" s="66"/>
      <c r="EA4" s="66"/>
      <c r="EB4" s="66"/>
      <c r="EC4" s="66"/>
      <c r="ED4" s="66"/>
      <c r="EE4" s="66"/>
      <c r="EF4" s="66"/>
      <c r="EG4" s="66"/>
      <c r="EH4" s="66"/>
      <c r="EI4" s="66"/>
      <c r="EJ4" s="66"/>
      <c r="EK4" s="66"/>
      <c r="EL4" s="66"/>
      <c r="EM4" s="66"/>
      <c r="EN4" s="66"/>
      <c r="EO4" s="66"/>
      <c r="EP4" s="66"/>
      <c r="EQ4" s="66"/>
      <c r="ER4" s="66"/>
      <c r="ES4" s="66"/>
      <c r="ET4" s="66"/>
      <c r="EU4" s="66"/>
      <c r="EV4" s="66"/>
      <c r="EW4" s="66"/>
      <c r="EX4" s="66"/>
      <c r="EY4" s="66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  <c r="HE4" s="66"/>
      <c r="HF4" s="66"/>
      <c r="HG4" s="66"/>
      <c r="HH4" s="66"/>
      <c r="HI4" s="66"/>
      <c r="HJ4" s="66"/>
      <c r="HK4" s="66"/>
      <c r="HL4" s="66"/>
      <c r="HM4" s="66"/>
      <c r="HN4" s="66"/>
      <c r="HO4" s="66"/>
      <c r="HP4" s="66"/>
      <c r="HQ4" s="66"/>
      <c r="HR4" s="66"/>
      <c r="HS4" s="66"/>
      <c r="HT4" s="66"/>
      <c r="HU4" s="66"/>
      <c r="HV4" s="66"/>
      <c r="HW4" s="66"/>
      <c r="HX4" s="66"/>
      <c r="HY4" s="66"/>
      <c r="HZ4" s="66"/>
      <c r="IA4" s="66"/>
      <c r="IB4" s="66"/>
      <c r="IC4" s="66"/>
      <c r="ID4" s="66"/>
      <c r="IE4" s="66"/>
      <c r="IF4" s="66"/>
      <c r="IG4" s="66"/>
      <c r="IH4" s="66"/>
      <c r="II4" s="66"/>
      <c r="IJ4" s="66"/>
      <c r="IK4" s="66"/>
      <c r="IL4" s="66"/>
      <c r="IM4" s="66"/>
      <c r="IN4" s="66"/>
      <c r="IO4" s="66"/>
      <c r="IP4" s="66"/>
      <c r="IQ4" s="66"/>
      <c r="IR4" s="66"/>
      <c r="IS4" s="66"/>
      <c r="IT4" s="66"/>
      <c r="IU4" s="66"/>
      <c r="IV4" s="66"/>
      <c r="IW4" s="66"/>
    </row>
    <row r="5" ht="14.25" customHeight="1" spans="1:257" x14ac:dyDescent="0.25">
      <c r="A5" s="66"/>
      <c r="B5" s="90" t="s">
        <v>9</v>
      </c>
      <c r="C5" s="90"/>
      <c r="D5" s="90"/>
      <c r="E5" s="90"/>
      <c r="F5" s="90"/>
      <c r="G5" s="90"/>
      <c r="H5" s="90"/>
      <c r="I5" s="91">
        <v>2</v>
      </c>
      <c r="J5" s="92" t="s">
        <v>10</v>
      </c>
      <c r="K5" s="92"/>
      <c r="L5" s="92"/>
      <c r="M5" s="93" t="s">
        <v>36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6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6"/>
      <c r="FM5" s="66"/>
      <c r="FN5" s="66"/>
      <c r="FO5" s="66"/>
      <c r="FP5" s="66"/>
      <c r="FQ5" s="66"/>
      <c r="FR5" s="66"/>
      <c r="FS5" s="66"/>
      <c r="FT5" s="66"/>
      <c r="FU5" s="66"/>
      <c r="FV5" s="66"/>
      <c r="FW5" s="66"/>
      <c r="FX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  <c r="HE5" s="66"/>
      <c r="HF5" s="66"/>
      <c r="HG5" s="66"/>
      <c r="HH5" s="66"/>
      <c r="HI5" s="66"/>
      <c r="HJ5" s="66"/>
      <c r="HK5" s="66"/>
      <c r="HL5" s="66"/>
      <c r="HM5" s="66"/>
      <c r="HN5" s="66"/>
      <c r="HO5" s="66"/>
      <c r="HP5" s="66"/>
      <c r="HQ5" s="66"/>
      <c r="HR5" s="66"/>
      <c r="HS5" s="66"/>
      <c r="HT5" s="66"/>
      <c r="HU5" s="66"/>
      <c r="HV5" s="66"/>
      <c r="HW5" s="66"/>
      <c r="HX5" s="66"/>
      <c r="HY5" s="66"/>
      <c r="HZ5" s="66"/>
      <c r="IA5" s="66"/>
      <c r="IB5" s="66"/>
      <c r="IC5" s="66"/>
      <c r="ID5" s="66"/>
      <c r="IE5" s="66"/>
      <c r="IF5" s="66"/>
      <c r="IG5" s="66"/>
      <c r="IH5" s="66"/>
      <c r="II5" s="66"/>
      <c r="IJ5" s="66"/>
      <c r="IK5" s="66"/>
      <c r="IL5" s="66"/>
      <c r="IM5" s="66"/>
      <c r="IN5" s="66"/>
      <c r="IO5" s="66"/>
      <c r="IP5" s="66"/>
      <c r="IQ5" s="66"/>
      <c r="IR5" s="66"/>
      <c r="IS5" s="66"/>
      <c r="IT5" s="66"/>
      <c r="IU5" s="66"/>
      <c r="IV5" s="66"/>
      <c r="IW5" s="66"/>
    </row>
    <row r="6" ht="13.5" customHeight="1" hidden="1" spans="1:257" x14ac:dyDescent="0.25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</row>
    <row r="7" ht="14.25" customHeight="1" hidden="1" spans="2:25" x14ac:dyDescent="0.25">
      <c r="B7" s="94" t="s">
        <v>12</v>
      </c>
      <c r="C7" s="94"/>
      <c r="D7" s="94"/>
      <c r="E7" s="95">
        <v>1</v>
      </c>
      <c r="F7" s="95"/>
      <c r="G7" s="96" t="s">
        <v>13</v>
      </c>
      <c r="H7" s="95">
        <f>I5</f>
        <v>2</v>
      </c>
      <c r="I7" s="97" t="s">
        <v>14</v>
      </c>
      <c r="J7" s="95"/>
      <c r="K7" s="98"/>
      <c r="L7" s="98"/>
      <c r="M7" s="99" t="s">
        <v>15</v>
      </c>
      <c r="N7" s="99"/>
      <c r="O7" s="95"/>
      <c r="P7" s="95"/>
      <c r="Q7" s="100"/>
      <c r="R7" s="99" t="s">
        <v>16</v>
      </c>
      <c r="S7" s="99"/>
      <c r="T7" s="98"/>
      <c r="U7" s="98"/>
      <c r="V7" s="98"/>
      <c r="W7" s="98"/>
      <c r="X7" s="98"/>
      <c r="Y7" s="101">
        <f>O7*J7</f>
        <v>0</v>
      </c>
    </row>
    <row r="8" ht="14.25" customHeight="1" spans="1:25" x14ac:dyDescent="0.25">
      <c r="A8" s="65"/>
      <c r="B8" s="102"/>
      <c r="C8" s="103"/>
      <c r="D8" s="104"/>
      <c r="E8" s="105"/>
      <c r="F8" s="105"/>
      <c r="G8" s="106"/>
      <c r="H8" s="105"/>
      <c r="I8" s="107"/>
      <c r="J8" s="105"/>
      <c r="K8" s="65"/>
      <c r="L8" s="65"/>
      <c r="M8" s="65"/>
      <c r="N8" s="65"/>
      <c r="O8" s="105"/>
      <c r="P8" s="105"/>
      <c r="Q8" s="105"/>
      <c r="R8" s="65"/>
      <c r="S8" s="65"/>
      <c r="T8" s="65"/>
      <c r="U8" s="65"/>
      <c r="V8" s="65"/>
      <c r="W8" s="65"/>
      <c r="X8" s="65"/>
      <c r="Y8" s="105"/>
    </row>
    <row r="9" ht="16.5" customHeight="1" spans="2:25" x14ac:dyDescent="0.25">
      <c r="B9" s="108" t="s">
        <v>37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</row>
    <row r="10" ht="13.5" customHeight="1" spans="8:8" x14ac:dyDescent="0.25">
      <c r="H10" s="109"/>
    </row>
    <row r="11" ht="38.25" customHeight="1" spans="2:29" x14ac:dyDescent="0.25">
      <c r="B11" s="110" t="s">
        <v>38</v>
      </c>
      <c r="C11" s="111" t="s">
        <v>39</v>
      </c>
      <c r="D11" s="111"/>
      <c r="E11" s="112" t="s">
        <v>40</v>
      </c>
      <c r="F11" s="112" t="s">
        <v>41</v>
      </c>
      <c r="G11" s="112"/>
      <c r="H11" s="113" t="s">
        <v>42</v>
      </c>
      <c r="I11" s="111" t="s">
        <v>43</v>
      </c>
      <c r="J11" s="111" t="s">
        <v>44</v>
      </c>
      <c r="K11" s="114" t="s">
        <v>45</v>
      </c>
      <c r="L11" s="114" t="s">
        <v>46</v>
      </c>
      <c r="M11" s="111" t="s">
        <v>47</v>
      </c>
      <c r="N11" s="115" t="s">
        <v>48</v>
      </c>
      <c r="O11" s="115"/>
      <c r="P11" s="114" t="s">
        <v>49</v>
      </c>
      <c r="Q11" s="111" t="s">
        <v>50</v>
      </c>
      <c r="R11" s="111" t="s">
        <v>51</v>
      </c>
      <c r="S11" s="111" t="s">
        <v>52</v>
      </c>
      <c r="T11" s="116"/>
      <c r="U11" s="117"/>
      <c r="V11" s="117"/>
      <c r="W11" s="117"/>
      <c r="X11" s="117"/>
      <c r="Y11" s="118" t="s">
        <v>53</v>
      </c>
      <c r="AC11" s="119">
        <v>1</v>
      </c>
    </row>
    <row r="12" ht="41.25" customHeight="1" spans="2:29" x14ac:dyDescent="0.25">
      <c r="B12" s="120"/>
      <c r="C12" s="121"/>
      <c r="D12" s="121"/>
      <c r="E12" s="122"/>
      <c r="F12" s="123" t="s">
        <v>54</v>
      </c>
      <c r="G12" s="123"/>
      <c r="H12" s="124" t="s">
        <v>55</v>
      </c>
      <c r="I12" s="122" t="s">
        <v>56</v>
      </c>
      <c r="J12" s="122" t="s">
        <v>57</v>
      </c>
      <c r="K12" s="122" t="s">
        <v>58</v>
      </c>
      <c r="L12" s="122" t="s">
        <v>59</v>
      </c>
      <c r="M12" s="125" t="s">
        <v>60</v>
      </c>
      <c r="N12" s="126" t="s">
        <v>61</v>
      </c>
      <c r="O12" s="126"/>
      <c r="P12" s="122" t="s">
        <v>62</v>
      </c>
      <c r="Q12" s="122" t="s">
        <v>63</v>
      </c>
      <c r="R12" s="122" t="s">
        <v>64</v>
      </c>
      <c r="S12" s="122" t="s">
        <v>65</v>
      </c>
      <c r="T12" s="122" t="s">
        <v>66</v>
      </c>
      <c r="U12" s="122" t="s">
        <v>67</v>
      </c>
      <c r="V12" s="127" t="s">
        <v>68</v>
      </c>
      <c r="W12" s="122" t="s">
        <v>69</v>
      </c>
      <c r="X12" s="128" t="s">
        <v>70</v>
      </c>
      <c r="Y12" s="129"/>
      <c r="AC12" s="119">
        <v>2</v>
      </c>
    </row>
    <row r="13" ht="27" customHeight="1" spans="2:29" x14ac:dyDescent="0.25">
      <c r="B13" s="130">
        <v>1016</v>
      </c>
      <c r="C13" s="131" t="s">
        <v>71</v>
      </c>
      <c r="D13" s="131"/>
      <c r="E13" s="132" t="s">
        <v>72</v>
      </c>
      <c r="F13" s="133" t="s">
        <v>73</v>
      </c>
      <c r="G13" s="133"/>
      <c r="H13" s="134" t="s">
        <v>138</v>
      </c>
      <c r="I13" s="135">
        <v>2</v>
      </c>
      <c r="J13" s="136" t="s">
        <v>75</v>
      </c>
      <c r="K13" s="137">
        <f>IF(J13="E",0.7,IF(J13="D",0.3,IF(J13="C",0.1,0)))</f>
        <v>0</v>
      </c>
      <c r="L13" s="137">
        <f>IF(I13="רכיב לא קיים",0,I13)</f>
        <v>2</v>
      </c>
      <c r="M13" s="138">
        <f>IF(L13=5,5,K13+L13)</f>
        <v>2</v>
      </c>
      <c r="N13" s="136"/>
      <c r="O13" s="136"/>
      <c r="P13" s="137">
        <f>IF(S13=2,0,IF(S13=1.5,0.3-((M13-1)*0.3/4),IF(S13=1.2,0.6-((M13-1)*0.6/4),1.2-((M13-1)*1.2/4))))</f>
        <v>0</v>
      </c>
      <c r="Q13" s="132">
        <f>IF(M13&gt;0,P13,0)</f>
        <v>0</v>
      </c>
      <c r="R13" s="132">
        <f>IF(M13=0,0,IF(M13-Q13&gt;=1,M13-Q13,1))</f>
        <v>2</v>
      </c>
      <c r="S13" s="132">
        <v>2</v>
      </c>
      <c r="T13" s="139">
        <f>IF(M13&gt;0,S13,0)</f>
        <v>2</v>
      </c>
      <c r="U13" s="139">
        <f>IF(M13&gt;0,S13*R13,0)</f>
        <v>4</v>
      </c>
      <c r="V13" s="140">
        <f>IF(S13=2,R13,0)</f>
        <v>2</v>
      </c>
      <c r="W13" s="137" t="s">
        <v>76</v>
      </c>
      <c r="X13" s="140" t="s">
        <v>77</v>
      </c>
      <c r="Y13" s="141"/>
      <c r="AC13" s="119">
        <v>3</v>
      </c>
    </row>
    <row r="14" ht="27" customHeight="1" spans="2:29" x14ac:dyDescent="0.25">
      <c r="B14" s="142">
        <v>1002</v>
      </c>
      <c r="C14" s="143" t="s">
        <v>78</v>
      </c>
      <c r="D14" s="143"/>
      <c r="E14" s="138" t="s">
        <v>72</v>
      </c>
      <c r="F14" s="144"/>
      <c r="G14" s="144"/>
      <c r="H14" s="145" t="s">
        <v>74</v>
      </c>
      <c r="I14" s="146">
        <v>2</v>
      </c>
      <c r="J14" s="144" t="s">
        <v>75</v>
      </c>
      <c r="K14" s="147">
        <f>IF(J14="E",0.7,IF(J14="D",0.3,IF(J14="C",0.1,0)))</f>
        <v>0</v>
      </c>
      <c r="L14" s="147">
        <f>IF(I14="רכיב לא קיים",0,I14)</f>
        <v>2</v>
      </c>
      <c r="M14" s="138">
        <f>IF(L14=5,5,K14+L14)</f>
        <v>2</v>
      </c>
      <c r="N14" s="144"/>
      <c r="O14" s="144"/>
      <c r="P14" s="137">
        <f>IF(S14=2,0,IF(S14=1.5,0.3-((M14-1)*0.3/4),IF(S14=1.2,0.6-((M14-1)*0.6/4),1.2-((M14-1)*1.2/4))))</f>
        <v>0</v>
      </c>
      <c r="Q14" s="132">
        <f>IF(M14&gt;0,P14,0)</f>
        <v>0</v>
      </c>
      <c r="R14" s="132">
        <f>IF(M14=0,0,IF(M14-Q14&gt;=1,M14-Q14,1))</f>
        <v>2</v>
      </c>
      <c r="S14" s="138">
        <v>2</v>
      </c>
      <c r="T14" s="139">
        <f>IF(M14&gt;0,S14,0)</f>
        <v>2</v>
      </c>
      <c r="U14" s="139">
        <f>IF(M14&gt;0,S14*R14,0)</f>
        <v>4</v>
      </c>
      <c r="V14" s="140">
        <f>IF(S14=2,R14,0)</f>
        <v>2</v>
      </c>
      <c r="W14" s="147">
        <v>1</v>
      </c>
      <c r="X14" s="148" t="s">
        <v>75</v>
      </c>
      <c r="Y14" s="149"/>
      <c r="AC14" s="119">
        <v>4</v>
      </c>
    </row>
    <row r="15" ht="27" customHeight="1" spans="2:29" x14ac:dyDescent="0.25">
      <c r="B15" s="142">
        <v>1011</v>
      </c>
      <c r="C15" s="143" t="s">
        <v>79</v>
      </c>
      <c r="D15" s="143"/>
      <c r="E15" s="138" t="s">
        <v>72</v>
      </c>
      <c r="F15" s="144"/>
      <c r="G15" s="144"/>
      <c r="H15" s="145" t="s">
        <v>80</v>
      </c>
      <c r="I15" s="146">
        <v>2</v>
      </c>
      <c r="J15" s="144" t="s">
        <v>75</v>
      </c>
      <c r="K15" s="147">
        <f>IF(J15="E",0.7,IF(J15="D",0.3,IF(J15="C",0.1,0)))</f>
        <v>0</v>
      </c>
      <c r="L15" s="147">
        <f>IF(I15="רכיב לא קיים",0,I15)</f>
        <v>2</v>
      </c>
      <c r="M15" s="138">
        <f>IF(L15=5,5,K15+L15)</f>
        <v>2</v>
      </c>
      <c r="N15" s="144"/>
      <c r="O15" s="144"/>
      <c r="P15" s="137">
        <f>IF(S15=2,0,IF(S15=1.5,0.3-((M15-1)*0.3/4),IF(S15=1.2,0.6-((M15-1)*0.6/4),1.2-((M15-1)*1.2/4))))</f>
        <v>0</v>
      </c>
      <c r="Q15" s="132">
        <f>IF(M15&gt;0,P15,0)</f>
        <v>0</v>
      </c>
      <c r="R15" s="132">
        <f>IF(M15=0,0,IF(M15-Q15&gt;=1,M15-Q15,1))</f>
        <v>2</v>
      </c>
      <c r="S15" s="138">
        <v>2</v>
      </c>
      <c r="T15" s="139">
        <f>IF(M15&gt;0,S15,0)</f>
        <v>2</v>
      </c>
      <c r="U15" s="139">
        <f>IF(M15&gt;0,S15*R15,0)</f>
        <v>4</v>
      </c>
      <c r="V15" s="140">
        <f>IF(S15=2,R15,0)</f>
        <v>2</v>
      </c>
      <c r="W15" s="147">
        <v>2</v>
      </c>
      <c r="X15" s="148" t="s">
        <v>81</v>
      </c>
      <c r="Y15" s="149"/>
      <c r="AC15" s="119">
        <v>5</v>
      </c>
    </row>
    <row r="16" ht="27" customHeight="1" spans="2:29" x14ac:dyDescent="0.25">
      <c r="B16" s="142">
        <v>1004</v>
      </c>
      <c r="C16" s="150" t="s">
        <v>82</v>
      </c>
      <c r="D16" s="150"/>
      <c r="E16" s="138" t="s">
        <v>72</v>
      </c>
      <c r="F16" s="144"/>
      <c r="G16" s="144"/>
      <c r="H16" s="151"/>
      <c r="I16" s="146"/>
      <c r="J16" s="144"/>
      <c r="K16" s="147">
        <f>IF(J16="E",0.7,IF(J16="D",0.3,IF(J16="C",0.1,0)))</f>
        <v>0</v>
      </c>
      <c r="L16" s="147">
        <f>IF(I16="רכיב לא קיים",0,I16)</f>
        <v>0</v>
      </c>
      <c r="M16" s="138">
        <f>IF(L16=5,5,K16+L16)</f>
        <v>0</v>
      </c>
      <c r="N16" s="144"/>
      <c r="O16" s="144"/>
      <c r="P16" s="137">
        <f>IF(S16=2,0,IF(S16=1.5,0.3-((M16-1)*0.3/4),IF(S16=1.2,0.6-((M16-1)*0.6/4),1.2-((M16-1)*1.2/4))))</f>
        <v>0</v>
      </c>
      <c r="Q16" s="132">
        <f>IF(M16&gt;0,P16,0)</f>
        <v>0</v>
      </c>
      <c r="R16" s="132">
        <f>IF(M16=0,0,IF(M16-Q16&gt;=1,M16-Q16,1))</f>
        <v>0</v>
      </c>
      <c r="S16" s="138">
        <v>2</v>
      </c>
      <c r="T16" s="139">
        <f>IF(M16&gt;0,S16,0)</f>
        <v>0</v>
      </c>
      <c r="U16" s="139">
        <f>IF(M16&gt;0,S16*R16,0)</f>
        <v>0</v>
      </c>
      <c r="V16" s="140">
        <f>IF(S16=2,R16,0)</f>
        <v>0</v>
      </c>
      <c r="W16" s="147">
        <v>3</v>
      </c>
      <c r="X16" s="148" t="s">
        <v>83</v>
      </c>
      <c r="Y16" s="149" t="s">
        <v>84</v>
      </c>
      <c r="AC16" s="119">
        <v>6</v>
      </c>
    </row>
    <row r="17" ht="27" customHeight="1" spans="2:29" x14ac:dyDescent="0.25">
      <c r="B17" s="142">
        <v>1005</v>
      </c>
      <c r="C17" s="143" t="s">
        <v>85</v>
      </c>
      <c r="D17" s="143"/>
      <c r="E17" s="138" t="s">
        <v>72</v>
      </c>
      <c r="F17" s="144"/>
      <c r="G17" s="144"/>
      <c r="H17" s="151"/>
      <c r="I17" s="146"/>
      <c r="J17" s="144"/>
      <c r="K17" s="147">
        <f>IF(J17="E",0.7,IF(J17="D",0.3,IF(J17="C",0.1,0)))</f>
        <v>0</v>
      </c>
      <c r="L17" s="147">
        <f>IF(I17="רכיב לא קיים",0,I17)</f>
        <v>0</v>
      </c>
      <c r="M17" s="138">
        <f>IF(L17=5,5,K17+L17)</f>
        <v>0</v>
      </c>
      <c r="N17" s="144"/>
      <c r="O17" s="144"/>
      <c r="P17" s="137">
        <f>IF(S17=2,0,IF(S17=1.5,0.3-((M17-1)*0.3/4),IF(S17=1.2,0.6-((M17-1)*0.6/4),1.2-((M17-1)*1.2/4))))</f>
        <v>0</v>
      </c>
      <c r="Q17" s="132">
        <f>IF(M17&gt;0,P17,0)</f>
        <v>0</v>
      </c>
      <c r="R17" s="132">
        <f>IF(M17=0,0,IF(M17-Q17&gt;=1,M17-Q17,1))</f>
        <v>0</v>
      </c>
      <c r="S17" s="138">
        <v>2</v>
      </c>
      <c r="T17" s="139">
        <f>IF(M17&gt;0,S17,0)</f>
        <v>0</v>
      </c>
      <c r="U17" s="139">
        <f>IF(M17&gt;0,S17*R17,0)</f>
        <v>0</v>
      </c>
      <c r="V17" s="140">
        <f>IF(S17=2,R17,0)</f>
        <v>0</v>
      </c>
      <c r="W17" s="147">
        <v>4</v>
      </c>
      <c r="X17" s="148" t="s">
        <v>86</v>
      </c>
      <c r="Y17" s="149" t="s">
        <v>84</v>
      </c>
      <c r="AC17" s="119">
        <v>7</v>
      </c>
    </row>
    <row r="18" ht="27" customHeight="1" spans="2:29" x14ac:dyDescent="0.25">
      <c r="B18" s="142">
        <v>1007</v>
      </c>
      <c r="C18" s="143" t="s">
        <v>87</v>
      </c>
      <c r="D18" s="143"/>
      <c r="E18" s="138" t="s">
        <v>72</v>
      </c>
      <c r="F18" s="144"/>
      <c r="G18" s="144"/>
      <c r="H18" s="151"/>
      <c r="I18" s="146"/>
      <c r="J18" s="144"/>
      <c r="K18" s="147">
        <f>IF(J18="E",0.7,IF(J18="D",0.3,IF(J18="C",0.1,0)))</f>
        <v>0</v>
      </c>
      <c r="L18" s="147">
        <f>IF(I18="רכיב לא קיים",0,I18)</f>
        <v>0</v>
      </c>
      <c r="M18" s="138">
        <f>IF(L18=5,5,K18+L18)</f>
        <v>0</v>
      </c>
      <c r="N18" s="144"/>
      <c r="O18" s="144"/>
      <c r="P18" s="137">
        <f>IF(S18=2,0,IF(S18=1.5,0.3-((M18-1)*0.3/4),IF(S18=1.2,0.6-((M18-1)*0.6/4),1.2-((M18-1)*1.2/4))))</f>
        <v>0</v>
      </c>
      <c r="Q18" s="132">
        <f>IF(M18&gt;0,P18,0)</f>
        <v>0</v>
      </c>
      <c r="R18" s="132">
        <f>IF(M18=0,0,IF(M18-Q18&gt;=1,M18-Q18,1))</f>
        <v>0</v>
      </c>
      <c r="S18" s="138">
        <v>2</v>
      </c>
      <c r="T18" s="139">
        <f>IF(M18&gt;0,S18,0)</f>
        <v>0</v>
      </c>
      <c r="U18" s="139">
        <f>IF(M18&gt;0,S18*R18,0)</f>
        <v>0</v>
      </c>
      <c r="V18" s="140">
        <f>IF(S18=2,R18,0)</f>
        <v>0</v>
      </c>
      <c r="W18" s="147">
        <v>4</v>
      </c>
      <c r="X18" s="148" t="s">
        <v>86</v>
      </c>
      <c r="Y18" s="149" t="s">
        <v>84</v>
      </c>
      <c r="AC18" s="119">
        <v>7</v>
      </c>
    </row>
    <row r="19" ht="27" customHeight="1" spans="2:29" x14ac:dyDescent="0.25">
      <c r="B19" s="142">
        <v>1006</v>
      </c>
      <c r="C19" s="150" t="s">
        <v>88</v>
      </c>
      <c r="D19" s="150"/>
      <c r="E19" s="138" t="s">
        <v>72</v>
      </c>
      <c r="F19" s="144"/>
      <c r="G19" s="144"/>
      <c r="H19" s="145" t="s">
        <v>139</v>
      </c>
      <c r="I19" s="146">
        <v>2</v>
      </c>
      <c r="J19" s="144" t="s">
        <v>75</v>
      </c>
      <c r="K19" s="147">
        <f>IF(J19="E",0.7,IF(J19="D",0.3,IF(J19="C",0.1,0)))</f>
        <v>0</v>
      </c>
      <c r="L19" s="147">
        <f>IF(I19="רכיב לא קיים",0,I19)</f>
        <v>2</v>
      </c>
      <c r="M19" s="212">
        <f>IF(L19=5,5,K19+L19)</f>
        <v>2</v>
      </c>
      <c r="N19" s="144"/>
      <c r="O19" s="144"/>
      <c r="P19" s="137">
        <f>IF(S19=2,0,IF(S19=1.5,0.3-((M19-1)*0.3/4),IF(S19=1.2,0.6-((M19-1)*0.6/4),1.2-((M19-1)*1.2/4))))</f>
        <v>0</v>
      </c>
      <c r="Q19" s="132">
        <f>IF(M19&gt;0,P19,0)</f>
        <v>0</v>
      </c>
      <c r="R19" s="132">
        <f>IF(M19=0,0,IF(M19-Q19&gt;=1,M19-Q19,1))</f>
        <v>2</v>
      </c>
      <c r="S19" s="138">
        <v>2</v>
      </c>
      <c r="T19" s="139">
        <f>IF(M19&gt;0,S19,0)</f>
        <v>2</v>
      </c>
      <c r="U19" s="139">
        <f>IF(M19&gt;0,S19*R19,0)</f>
        <v>4</v>
      </c>
      <c r="V19" s="140">
        <f>IF(S19=2,R19,0)</f>
        <v>2</v>
      </c>
      <c r="W19" s="147">
        <v>5</v>
      </c>
      <c r="X19" s="148"/>
      <c r="Y19" s="149"/>
      <c r="AC19" s="119">
        <v>8</v>
      </c>
    </row>
    <row r="20" ht="27" customHeight="1" spans="2:29" x14ac:dyDescent="0.25">
      <c r="B20" s="142">
        <v>6008</v>
      </c>
      <c r="C20" s="150" t="s">
        <v>89</v>
      </c>
      <c r="D20" s="150"/>
      <c r="E20" s="138" t="s">
        <v>90</v>
      </c>
      <c r="F20" s="144"/>
      <c r="G20" s="144"/>
      <c r="H20" s="145"/>
      <c r="I20" s="146"/>
      <c r="J20" s="144"/>
      <c r="K20" s="147">
        <f>IF(J20="E",0.7,IF(J20="D",0.3,IF(J20="C",0.1,0)))</f>
        <v>0</v>
      </c>
      <c r="L20" s="147">
        <f>IF(I20="רכיב לא קיים",0,I20)</f>
        <v>0</v>
      </c>
      <c r="M20" s="138">
        <f>IF(L20=5,5,K20+L20)</f>
        <v>0</v>
      </c>
      <c r="N20" s="144"/>
      <c r="O20" s="144"/>
      <c r="P20" s="137">
        <f>IF(S20=2,0,IF(S20=1.5,0.3-((M20-1)*0.3/4),IF(S20=1.2,0.6-((M20-1)*0.6/4),1.2-((M20-1)*1.2/4))))</f>
        <v>0.375</v>
      </c>
      <c r="Q20" s="132">
        <f>IF(M20&gt;0,P20,0)</f>
        <v>0</v>
      </c>
      <c r="R20" s="132">
        <f>IF(M20=0,0,IF(M20-Q20&gt;=1,M20-Q20,1))</f>
        <v>0</v>
      </c>
      <c r="S20" s="138">
        <v>1.5</v>
      </c>
      <c r="T20" s="139">
        <f>IF(M20&gt;0,S20,0)</f>
        <v>0</v>
      </c>
      <c r="U20" s="139">
        <f>IF(M20&gt;0,S20*R20,0)</f>
        <v>0</v>
      </c>
      <c r="V20" s="140">
        <f>IF(S20=2,R20,0)</f>
        <v>0</v>
      </c>
      <c r="W20" s="65"/>
      <c r="X20" s="65"/>
      <c r="Y20" s="149"/>
      <c r="AC20" s="119">
        <v>9</v>
      </c>
    </row>
    <row r="21" ht="27" customHeight="1" spans="2:29" x14ac:dyDescent="0.25">
      <c r="B21" s="142">
        <v>2001</v>
      </c>
      <c r="C21" s="143" t="s">
        <v>91</v>
      </c>
      <c r="D21" s="143"/>
      <c r="E21" s="138" t="s">
        <v>90</v>
      </c>
      <c r="F21" s="144"/>
      <c r="G21" s="144"/>
      <c r="H21" s="151"/>
      <c r="I21" s="146"/>
      <c r="J21" s="144"/>
      <c r="K21" s="147">
        <f>IF(J21="E",0.7,IF(J21="D",0.3,IF(J21="C",0.1,0)))</f>
        <v>0</v>
      </c>
      <c r="L21" s="147">
        <f>IF(I21="רכיב לא קיים",0,I21)</f>
        <v>0</v>
      </c>
      <c r="M21" s="138">
        <f>IF(L21=5,5,K21+L21)</f>
        <v>0</v>
      </c>
      <c r="N21" s="144"/>
      <c r="O21" s="144"/>
      <c r="P21" s="137">
        <f>IF(S21=2,0,IF(S21=1.5,0.3-((M21-1)*0.3/4),IF(S21=1.2,0.6-((M21-1)*0.6/4),1.2-((M21-1)*1.2/4))))</f>
        <v>0.375</v>
      </c>
      <c r="Q21" s="132">
        <f>IF(M21&gt;0,P21,0)</f>
        <v>0</v>
      </c>
      <c r="R21" s="132">
        <f>IF(M21=0,0,IF(M21-Q21&gt;=1,M21-Q21,1))</f>
        <v>0</v>
      </c>
      <c r="S21" s="138">
        <v>1.5</v>
      </c>
      <c r="T21" s="139">
        <f>IF(M21&gt;0,S21,0)</f>
        <v>0</v>
      </c>
      <c r="U21" s="139">
        <f>IF(M21&gt;0,S21*R21,0)</f>
        <v>0</v>
      </c>
      <c r="V21" s="140">
        <f>IF(S21=2,R21,0)</f>
        <v>0</v>
      </c>
      <c r="W21" s="65"/>
      <c r="X21" s="65"/>
      <c r="Y21" s="152" t="s">
        <v>92</v>
      </c>
      <c r="AC21" s="119">
        <v>10</v>
      </c>
    </row>
    <row r="22" ht="27" customHeight="1" spans="2:25" x14ac:dyDescent="0.25">
      <c r="B22" s="142">
        <v>2002</v>
      </c>
      <c r="C22" s="143" t="s">
        <v>93</v>
      </c>
      <c r="D22" s="143"/>
      <c r="E22" s="138" t="s">
        <v>90</v>
      </c>
      <c r="F22" s="144"/>
      <c r="G22" s="144"/>
      <c r="H22" s="145"/>
      <c r="I22" s="146"/>
      <c r="J22" s="144"/>
      <c r="K22" s="147">
        <f>IF(J22="E",0.7,IF(J22="D",0.3,IF(J22="C",0.1,0)))</f>
        <v>0</v>
      </c>
      <c r="L22" s="147">
        <f>IF(I22="רכיב לא קיים",0,I22)</f>
        <v>0</v>
      </c>
      <c r="M22" s="138">
        <f>IF(L22=5,5,K22+L22)</f>
        <v>0</v>
      </c>
      <c r="N22" s="144"/>
      <c r="O22" s="144"/>
      <c r="P22" s="137">
        <f>IF(S22=2,0,IF(S22=1.5,0.3-((M22-1)*0.3/4),IF(S22=1.2,0.6-((M22-1)*0.6/4),1.2-((M22-1)*1.2/4))))</f>
        <v>0.375</v>
      </c>
      <c r="Q22" s="132">
        <f>IF(M22&gt;0,P22,0)</f>
        <v>0</v>
      </c>
      <c r="R22" s="132">
        <f>IF(M22=0,0,IF(M22-Q22&gt;=1,M22-Q22,1))</f>
        <v>0</v>
      </c>
      <c r="S22" s="138">
        <v>1.5</v>
      </c>
      <c r="T22" s="139">
        <f>IF(M22&gt;0,S22,0)</f>
        <v>0</v>
      </c>
      <c r="U22" s="139">
        <f>IF(M22&gt;0,S22*R22,0)</f>
        <v>0</v>
      </c>
      <c r="V22" s="140">
        <f>IF(S22=2,R22,0)</f>
        <v>0</v>
      </c>
      <c r="W22" s="65"/>
      <c r="X22" s="65"/>
      <c r="Y22" s="149" t="s">
        <v>84</v>
      </c>
    </row>
    <row r="23" ht="27" customHeight="1" spans="2:25" x14ac:dyDescent="0.25">
      <c r="B23" s="142">
        <v>2003</v>
      </c>
      <c r="C23" s="150" t="s">
        <v>95</v>
      </c>
      <c r="D23" s="150"/>
      <c r="E23" s="138" t="s">
        <v>90</v>
      </c>
      <c r="F23" s="144"/>
      <c r="G23" s="144"/>
      <c r="H23" s="151"/>
      <c r="I23" s="146"/>
      <c r="J23" s="144"/>
      <c r="K23" s="147">
        <f>IF(J23="E",0.7,IF(J23="D",0.3,IF(J23="C",0.1,0)))</f>
        <v>0</v>
      </c>
      <c r="L23" s="147">
        <f>IF(I23="רכיב לא קיים",0,I23)</f>
        <v>0</v>
      </c>
      <c r="M23" s="138">
        <f>IF(L23=5,5,K23+L23)</f>
        <v>0</v>
      </c>
      <c r="N23" s="144"/>
      <c r="O23" s="144"/>
      <c r="P23" s="137">
        <f>IF(S23=2,0,IF(S23=1.5,0.3-((M23-1)*0.3/4),IF(S23=1.2,0.6-((M23-1)*0.6/4),1.2-((M23-1)*1.2/4))))</f>
        <v>0.375</v>
      </c>
      <c r="Q23" s="132">
        <f>IF(M23&gt;0,P23,0)</f>
        <v>0</v>
      </c>
      <c r="R23" s="132">
        <f>IF(M23=0,0,IF(M23-Q23&gt;=1,M23-Q23,1))</f>
        <v>0</v>
      </c>
      <c r="S23" s="138">
        <v>1.5</v>
      </c>
      <c r="T23" s="139">
        <f>IF(M23&gt;0,S23,0)</f>
        <v>0</v>
      </c>
      <c r="U23" s="139">
        <f>IF(M23&gt;0,S23*R23,0)</f>
        <v>0</v>
      </c>
      <c r="V23" s="140">
        <f>IF(S23=2,R23,0)</f>
        <v>0</v>
      </c>
      <c r="W23" s="65"/>
      <c r="X23" s="65"/>
      <c r="Y23" s="149" t="s">
        <v>84</v>
      </c>
    </row>
    <row r="24" ht="27" customHeight="1" spans="2:25" x14ac:dyDescent="0.25">
      <c r="B24" s="142">
        <v>2004</v>
      </c>
      <c r="C24" s="143" t="s">
        <v>96</v>
      </c>
      <c r="D24" s="143"/>
      <c r="E24" s="138" t="s">
        <v>72</v>
      </c>
      <c r="F24" s="144"/>
      <c r="G24" s="144"/>
      <c r="H24" s="145" t="s">
        <v>140</v>
      </c>
      <c r="I24" s="146">
        <v>2</v>
      </c>
      <c r="J24" s="144" t="s">
        <v>75</v>
      </c>
      <c r="K24" s="147">
        <f>IF(J24="E",0.7,IF(J24="D",0.3,IF(J24="C",0.1,0)))</f>
        <v>0</v>
      </c>
      <c r="L24" s="147">
        <f>IF(I24="רכיב לא קיים",0,I24)</f>
        <v>2</v>
      </c>
      <c r="M24" s="138">
        <f>IF(L24=5,5,K24+L24)</f>
        <v>2</v>
      </c>
      <c r="N24" s="144"/>
      <c r="O24" s="144"/>
      <c r="P24" s="147">
        <f>IF(S24=2,0,IF(S24=1.5,0.3-((M24-1)*0.3/4),IF(S24=1.2,0.6-((M24-1)*0.6/4),1.2-((M24-1)*1.2/4))))</f>
        <v>0</v>
      </c>
      <c r="Q24" s="132">
        <f>IF(M24&gt;0,P24,0)</f>
        <v>0</v>
      </c>
      <c r="R24" s="132">
        <f>IF(M24=0,0,IF(M24-Q24&gt;=1,M24-Q24,1))</f>
        <v>2</v>
      </c>
      <c r="S24" s="138">
        <v>2</v>
      </c>
      <c r="T24" s="139">
        <f>IF(M24&gt;0,S24,0)</f>
        <v>2</v>
      </c>
      <c r="U24" s="139">
        <f>IF(M24&gt;0,S24*R24,0)</f>
        <v>4</v>
      </c>
      <c r="V24" s="140">
        <f>IF(S24=2,R24,0)</f>
        <v>2</v>
      </c>
      <c r="W24" s="65"/>
      <c r="X24" s="65"/>
      <c r="Y24" s="149"/>
    </row>
    <row r="25" ht="27" customHeight="1" spans="2:25" x14ac:dyDescent="0.25">
      <c r="B25" s="142">
        <v>2005</v>
      </c>
      <c r="C25" s="150" t="s">
        <v>97</v>
      </c>
      <c r="D25" s="150"/>
      <c r="E25" s="138" t="s">
        <v>72</v>
      </c>
      <c r="F25" s="144"/>
      <c r="G25" s="144"/>
      <c r="H25" s="145" t="s">
        <v>140</v>
      </c>
      <c r="I25" s="146">
        <v>2</v>
      </c>
      <c r="J25" s="144" t="s">
        <v>75</v>
      </c>
      <c r="K25" s="147">
        <f>IF(J25="E",0.7,IF(J25="D",0.3,IF(J25="C",0.1,0)))</f>
        <v>0</v>
      </c>
      <c r="L25" s="147">
        <f>IF(I25="רכיב לא קיים",0,I25)</f>
        <v>2</v>
      </c>
      <c r="M25" s="138">
        <f>IF(L25=5,5,K25+L25)</f>
        <v>2</v>
      </c>
      <c r="N25" s="144"/>
      <c r="O25" s="144"/>
      <c r="P25" s="147">
        <f>IF(S25=2,0,IF(S25=1.5,0.3-((M25-1)*0.3/4),IF(S25=1.2,0.6-((M25-1)*0.6/4),1.2-((M25-1)*1.2/4))))</f>
        <v>0</v>
      </c>
      <c r="Q25" s="132">
        <f>IF(M25&gt;0,P25,0)</f>
        <v>0</v>
      </c>
      <c r="R25" s="132">
        <f>IF(M25=0,0,IF(M25-Q25&gt;=1,M25-Q25,1))</f>
        <v>2</v>
      </c>
      <c r="S25" s="138">
        <v>2</v>
      </c>
      <c r="T25" s="139">
        <f>IF(M25&gt;0,S25,0)</f>
        <v>2</v>
      </c>
      <c r="U25" s="139">
        <f>IF(M25&gt;0,S25*R25,0)</f>
        <v>4</v>
      </c>
      <c r="V25" s="140">
        <f>IF(S25=2,R25,0)</f>
        <v>2</v>
      </c>
      <c r="W25" s="65"/>
      <c r="X25" s="65"/>
      <c r="Y25" s="149"/>
    </row>
    <row r="26" ht="27" customHeight="1" spans="2:25" x14ac:dyDescent="0.25">
      <c r="B26" s="142">
        <v>2006</v>
      </c>
      <c r="C26" s="150" t="s">
        <v>98</v>
      </c>
      <c r="D26" s="150"/>
      <c r="E26" s="138" t="s">
        <v>90</v>
      </c>
      <c r="F26" s="144"/>
      <c r="G26" s="144"/>
      <c r="H26" s="145"/>
      <c r="I26" s="146"/>
      <c r="J26" s="144"/>
      <c r="K26" s="147">
        <f>IF(J26="E",0.7,IF(J26="D",0.3,IF(J26="C",0.1,0)))</f>
        <v>0</v>
      </c>
      <c r="L26" s="147">
        <f>IF(I26="רכיב לא קיים",0,I26)</f>
        <v>0</v>
      </c>
      <c r="M26" s="138">
        <f>IF(L26=5,5,K26+L26)</f>
        <v>0</v>
      </c>
      <c r="N26" s="144"/>
      <c r="O26" s="144"/>
      <c r="P26" s="147">
        <f>IF(S26=2,0,IF(S26=1.5,0.3-((M26-1)*0.3/4),IF(S26=1.2,0.6-((M26-1)*0.6/4),1.2-((M26-1)*1.2/4))))</f>
        <v>0.375</v>
      </c>
      <c r="Q26" s="132">
        <f>IF(M26&gt;0,P26,0)</f>
        <v>0</v>
      </c>
      <c r="R26" s="132">
        <f>IF(M26=0,0,IF(M26-Q26&gt;=1,M26-Q26,1))</f>
        <v>0</v>
      </c>
      <c r="S26" s="138">
        <v>1.5</v>
      </c>
      <c r="T26" s="139">
        <f>IF(M26&gt;0,S26,0)</f>
        <v>0</v>
      </c>
      <c r="U26" s="139">
        <f>IF(M26&gt;0,S26*R26,0)</f>
        <v>0</v>
      </c>
      <c r="V26" s="140">
        <f>IF(S26=2,R26,0)</f>
        <v>0</v>
      </c>
      <c r="W26" s="65"/>
      <c r="X26" s="65"/>
      <c r="Y26" s="149"/>
    </row>
    <row r="27" ht="27" customHeight="1" spans="2:25" x14ac:dyDescent="0.25">
      <c r="B27" s="142">
        <v>2007</v>
      </c>
      <c r="C27" s="150" t="s">
        <v>99</v>
      </c>
      <c r="D27" s="150"/>
      <c r="E27" s="138" t="s">
        <v>90</v>
      </c>
      <c r="F27" s="144"/>
      <c r="G27" s="144"/>
      <c r="H27" s="151"/>
      <c r="I27" s="146"/>
      <c r="J27" s="144"/>
      <c r="K27" s="147">
        <f>IF(J27="E",0.7,IF(J27="D",0.3,IF(J27="C",0.1,0)))</f>
        <v>0</v>
      </c>
      <c r="L27" s="147">
        <f>IF(I27="רכיב לא קיים",0,I27)</f>
        <v>0</v>
      </c>
      <c r="M27" s="138">
        <f>IF(L27=5,5,K27+L27)</f>
        <v>0</v>
      </c>
      <c r="N27" s="144"/>
      <c r="O27" s="144"/>
      <c r="P27" s="147">
        <f>IF(S27=2,0,IF(S27=1.5,0.3-((M27-1)*0.3/4),IF(S27=1.2,0.6-((M27-1)*0.6/4),1.2-((M27-1)*1.2/4))))</f>
        <v>0.375</v>
      </c>
      <c r="Q27" s="132">
        <f>IF(M27&gt;0,P27,0)</f>
        <v>0</v>
      </c>
      <c r="R27" s="132">
        <f>IF(M27=0,0,IF(M27-Q27&gt;=1,M27-Q27,1))</f>
        <v>0</v>
      </c>
      <c r="S27" s="138">
        <v>1.5</v>
      </c>
      <c r="T27" s="139">
        <f>IF(M27&gt;0,S27,0)</f>
        <v>0</v>
      </c>
      <c r="U27" s="139">
        <f>IF(M27&gt;0,S27*R27,0)</f>
        <v>0</v>
      </c>
      <c r="V27" s="140">
        <f>IF(S27=2,R27,0)</f>
        <v>0</v>
      </c>
      <c r="W27" s="65"/>
      <c r="X27" s="65"/>
      <c r="Y27" s="149" t="s">
        <v>84</v>
      </c>
    </row>
    <row r="28" ht="27" customHeight="1" spans="2:25" x14ac:dyDescent="0.25">
      <c r="B28" s="142">
        <v>2008</v>
      </c>
      <c r="C28" s="143" t="s">
        <v>100</v>
      </c>
      <c r="D28" s="143"/>
      <c r="E28" s="138" t="s">
        <v>101</v>
      </c>
      <c r="F28" s="144"/>
      <c r="G28" s="144"/>
      <c r="H28" s="145"/>
      <c r="I28" s="146"/>
      <c r="J28" s="144"/>
      <c r="K28" s="147">
        <f>IF(J28="E",0.7,IF(J28="D",0.3,IF(J28="C",0.1,0)))</f>
        <v>0</v>
      </c>
      <c r="L28" s="147">
        <f>IF(I28="רכיב לא קיים",0,I28)</f>
        <v>0</v>
      </c>
      <c r="M28" s="138">
        <f>IF(L28=5,5,K28+L28)</f>
        <v>0</v>
      </c>
      <c r="N28" s="144"/>
      <c r="O28" s="144"/>
      <c r="P28" s="147">
        <f>IF(S28=2,0,IF(S28=1.5,0.3-((M28-1)*0.3/4),IF(S28=1.2,0.6-((M28-1)*0.6/4),1.2-((M28-1)*1.2/4))))</f>
        <v>0.75</v>
      </c>
      <c r="Q28" s="132">
        <f>IF(M28&gt;0,P28,0)</f>
        <v>0</v>
      </c>
      <c r="R28" s="132">
        <f>IF(M28=0,0,IF(M28-Q28&gt;=1,M28-Q28,1))</f>
        <v>0</v>
      </c>
      <c r="S28" s="138">
        <v>1.2</v>
      </c>
      <c r="T28" s="139">
        <f>IF(M28&gt;0,S28,0)</f>
        <v>0</v>
      </c>
      <c r="U28" s="139">
        <f>IF(M28&gt;0,S28*R28,0)</f>
        <v>0</v>
      </c>
      <c r="V28" s="140">
        <f>IF(S28=2,R28,0)</f>
        <v>0</v>
      </c>
      <c r="W28" s="65"/>
      <c r="X28" s="65"/>
      <c r="Y28" s="149"/>
    </row>
    <row r="29" ht="27" customHeight="1" spans="2:25" x14ac:dyDescent="0.25">
      <c r="B29" s="142">
        <v>3001</v>
      </c>
      <c r="C29" s="150" t="s">
        <v>102</v>
      </c>
      <c r="D29" s="150"/>
      <c r="E29" s="138" t="s">
        <v>101</v>
      </c>
      <c r="F29" s="144"/>
      <c r="G29" s="144"/>
      <c r="H29" s="151"/>
      <c r="I29" s="146"/>
      <c r="J29" s="144"/>
      <c r="K29" s="147">
        <f>IF(J29="E",0.7,IF(J29="D",0.3,IF(J29="C",0.1,0)))</f>
        <v>0</v>
      </c>
      <c r="L29" s="147">
        <f>IF(I29="רכיב לא קיים",0,I29)</f>
        <v>0</v>
      </c>
      <c r="M29" s="138">
        <f>IF(L29=5,5,K29+L29)</f>
        <v>0</v>
      </c>
      <c r="N29" s="144"/>
      <c r="O29" s="144"/>
      <c r="P29" s="147">
        <f>IF(S29=2,0,IF(S29=1.5,0.3-((M29-1)*0.3/4),IF(S29=1.2,0.6-((M29-1)*0.6/4),1.2-((M29-1)*1.2/4))))</f>
        <v>0.75</v>
      </c>
      <c r="Q29" s="132">
        <f>IF(M29&gt;0,P29,0)</f>
        <v>0</v>
      </c>
      <c r="R29" s="132">
        <f>IF(M29=0,0,IF(M29-Q29&gt;=1,M29-Q29,1))</f>
        <v>0</v>
      </c>
      <c r="S29" s="138">
        <v>1.2</v>
      </c>
      <c r="T29" s="139">
        <f>IF(M29&gt;0,S29,0)</f>
        <v>0</v>
      </c>
      <c r="U29" s="139">
        <f>IF(M29&gt;0,S29*R29,0)</f>
        <v>0</v>
      </c>
      <c r="V29" s="140">
        <f>IF(S29=2,R29,0)</f>
        <v>0</v>
      </c>
      <c r="W29" s="65"/>
      <c r="X29" s="65"/>
      <c r="Y29" s="149" t="s">
        <v>84</v>
      </c>
    </row>
    <row r="30" ht="27" customHeight="1" spans="2:25" x14ac:dyDescent="0.25">
      <c r="B30" s="142">
        <v>3002</v>
      </c>
      <c r="C30" s="150" t="s">
        <v>103</v>
      </c>
      <c r="D30" s="150"/>
      <c r="E30" s="138" t="s">
        <v>101</v>
      </c>
      <c r="F30" s="144"/>
      <c r="G30" s="144"/>
      <c r="H30" s="151"/>
      <c r="I30" s="146"/>
      <c r="J30" s="144"/>
      <c r="K30" s="147">
        <f>IF(J30="E",0.7,IF(J30="D",0.3,IF(J30="C",0.1,0)))</f>
        <v>0</v>
      </c>
      <c r="L30" s="147">
        <f>IF(I30="רכיב לא קיים",0,I30)</f>
        <v>0</v>
      </c>
      <c r="M30" s="138">
        <f>IF(L30=5,5,K30+L30)</f>
        <v>0</v>
      </c>
      <c r="N30" s="144"/>
      <c r="O30" s="144"/>
      <c r="P30" s="147">
        <f>IF(S30=2,0,IF(S30=1.5,0.3-((M30-1)*0.3/4),IF(S30=1.2,0.6-((M30-1)*0.6/4),1.2-((M30-1)*1.2/4))))</f>
        <v>0.75</v>
      </c>
      <c r="Q30" s="132">
        <f>IF(M30&gt;0,P30,0)</f>
        <v>0</v>
      </c>
      <c r="R30" s="132">
        <f>IF(M30=0,0,IF(M30-Q30&gt;=1,M30-Q30,1))</f>
        <v>0</v>
      </c>
      <c r="S30" s="138">
        <v>1.2</v>
      </c>
      <c r="T30" s="139">
        <f>IF(M30&gt;0,S30,0)</f>
        <v>0</v>
      </c>
      <c r="U30" s="139">
        <f>IF(M30&gt;0,S30*R30,0)</f>
        <v>0</v>
      </c>
      <c r="V30" s="140">
        <f>IF(S30=2,R30,0)</f>
        <v>0</v>
      </c>
      <c r="W30" s="65"/>
      <c r="X30" s="65"/>
      <c r="Y30" s="149" t="s">
        <v>84</v>
      </c>
    </row>
    <row r="31" ht="27" customHeight="1" spans="2:25" x14ac:dyDescent="0.25">
      <c r="B31" s="142">
        <v>3003</v>
      </c>
      <c r="C31" s="143" t="s">
        <v>104</v>
      </c>
      <c r="D31" s="143"/>
      <c r="E31" s="138" t="s">
        <v>101</v>
      </c>
      <c r="F31" s="144"/>
      <c r="G31" s="144"/>
      <c r="H31" s="145"/>
      <c r="I31" s="146"/>
      <c r="J31" s="144"/>
      <c r="K31" s="147">
        <f>IF(J31="E",0.7,IF(J31="D",0.3,IF(J31="C",0.1,0)))</f>
        <v>0</v>
      </c>
      <c r="L31" s="147">
        <f>IF(I31="רכיב לא קיים",0,I31)</f>
        <v>0</v>
      </c>
      <c r="M31" s="138">
        <f>IF(L31=5,5,K31+L31)</f>
        <v>0</v>
      </c>
      <c r="N31" s="144"/>
      <c r="O31" s="144"/>
      <c r="P31" s="147">
        <f>IF(S31=2,0,IF(S31=1.5,0.3-((M31-1)*0.3/4),IF(S31=1.2,0.6-((M31-1)*0.6/4),1.2-((M31-1)*1.2/4))))</f>
        <v>0.75</v>
      </c>
      <c r="Q31" s="132">
        <f>IF(M31&gt;0,P31,0)</f>
        <v>0</v>
      </c>
      <c r="R31" s="132">
        <f>IF(M31=0,0,IF(M31-Q31&gt;=1,M31-Q31,1))</f>
        <v>0</v>
      </c>
      <c r="S31" s="138">
        <v>1.2</v>
      </c>
      <c r="T31" s="139">
        <f>IF(M31&gt;0,S31,0)</f>
        <v>0</v>
      </c>
      <c r="U31" s="139">
        <f>IF(M31&gt;0,S31*R31,0)</f>
        <v>0</v>
      </c>
      <c r="V31" s="140">
        <f>IF(S31=2,R31,0)</f>
        <v>0</v>
      </c>
      <c r="W31" s="65"/>
      <c r="X31" s="65"/>
      <c r="Y31" s="149" t="s">
        <v>84</v>
      </c>
    </row>
    <row r="32" ht="27" customHeight="1" spans="2:25" x14ac:dyDescent="0.25">
      <c r="B32" s="142">
        <v>7002</v>
      </c>
      <c r="C32" s="143" t="s">
        <v>105</v>
      </c>
      <c r="D32" s="143"/>
      <c r="E32" s="138" t="s">
        <v>90</v>
      </c>
      <c r="F32" s="144"/>
      <c r="G32" s="144"/>
      <c r="H32" s="145"/>
      <c r="I32" s="146"/>
      <c r="J32" s="144"/>
      <c r="K32" s="147">
        <f>IF(J32="E",0.7,IF(J32="D",0.3,IF(J32="C",0.1,0)))</f>
        <v>0</v>
      </c>
      <c r="L32" s="147">
        <f>IF(I32="רכיב לא קיים",0,I32)</f>
        <v>0</v>
      </c>
      <c r="M32" s="138">
        <f>IF(L32=5,5,K32+L32)</f>
        <v>0</v>
      </c>
      <c r="N32" s="144"/>
      <c r="O32" s="144"/>
      <c r="P32" s="147">
        <f>IF(S32=2,0,IF(S32=1.5,0.3-((M32-1)*0.3/4),IF(S32=1.2,0.6-((M32-1)*0.6/4),1.2-((M32-1)*1.2/4))))</f>
        <v>0.375</v>
      </c>
      <c r="Q32" s="132">
        <f>IF(M32&gt;0,P32,0)</f>
        <v>0</v>
      </c>
      <c r="R32" s="132">
        <f>IF(M32=0,0,IF(M32-Q32&gt;=1,M32-Q32,1))</f>
        <v>0</v>
      </c>
      <c r="S32" s="138">
        <v>1.5</v>
      </c>
      <c r="T32" s="139">
        <f>IF(M32&gt;0,S32,0)</f>
        <v>0</v>
      </c>
      <c r="U32" s="139">
        <f>IF(M32&gt;0,S32*R32,0)</f>
        <v>0</v>
      </c>
      <c r="V32" s="140">
        <f>IF(S32=2,R32,0)</f>
        <v>0</v>
      </c>
      <c r="W32" s="65"/>
      <c r="X32" s="65"/>
      <c r="Y32" s="149"/>
    </row>
    <row r="33" ht="27" customHeight="1" spans="2:25" x14ac:dyDescent="0.25">
      <c r="B33" s="142">
        <v>3005</v>
      </c>
      <c r="C33" s="143" t="s">
        <v>107</v>
      </c>
      <c r="D33" s="143"/>
      <c r="E33" s="138" t="s">
        <v>101</v>
      </c>
      <c r="F33" s="144"/>
      <c r="G33" s="144"/>
      <c r="H33" s="151"/>
      <c r="I33" s="146"/>
      <c r="J33" s="144"/>
      <c r="K33" s="147">
        <f>IF(J33="E",0.7,IF(J33="D",0.3,IF(J33="C",0.1,0)))</f>
        <v>0</v>
      </c>
      <c r="L33" s="147">
        <f>IF(I33="רכיב לא קיים",0,I33)</f>
        <v>0</v>
      </c>
      <c r="M33" s="138">
        <f>IF(L33=5,5,K33+L33)</f>
        <v>0</v>
      </c>
      <c r="N33" s="144"/>
      <c r="O33" s="144"/>
      <c r="P33" s="147">
        <f>IF(S33=2,0,IF(S33=1.5,0.3-((M33-1)*0.3/4),IF(S33=1.2,0.6-((M33-1)*0.6/4),1.2-((M33-1)*1.2/4))))</f>
        <v>0.75</v>
      </c>
      <c r="Q33" s="132">
        <f>IF(M33&gt;0,P33,0)</f>
        <v>0</v>
      </c>
      <c r="R33" s="132">
        <f>IF(M33=0,0,IF(M33-Q33&gt;=1,M33-Q33,1))</f>
        <v>0</v>
      </c>
      <c r="S33" s="138">
        <v>1.2</v>
      </c>
      <c r="T33" s="139">
        <f>IF(M33&gt;0,S33,0)</f>
        <v>0</v>
      </c>
      <c r="U33" s="139">
        <f>IF(M33&gt;0,S33*R33,0)</f>
        <v>0</v>
      </c>
      <c r="V33" s="140">
        <f>IF(S33=2,R33,0)</f>
        <v>0</v>
      </c>
      <c r="W33" s="65"/>
      <c r="X33" s="65"/>
      <c r="Y33" s="149" t="s">
        <v>84</v>
      </c>
    </row>
    <row r="34" ht="27" customHeight="1" spans="2:25" x14ac:dyDescent="0.25">
      <c r="B34" s="142">
        <v>3006</v>
      </c>
      <c r="C34" s="143" t="s">
        <v>108</v>
      </c>
      <c r="D34" s="143"/>
      <c r="E34" s="138" t="s">
        <v>101</v>
      </c>
      <c r="F34" s="144"/>
      <c r="G34" s="144"/>
      <c r="H34" s="151"/>
      <c r="I34" s="146"/>
      <c r="J34" s="144"/>
      <c r="K34" s="147">
        <f>IF(J34="E",0.7,IF(J34="D",0.3,IF(J34="C",0.1,0)))</f>
        <v>0</v>
      </c>
      <c r="L34" s="147">
        <f>IF(I34="רכיב לא קיים",0,I34)</f>
        <v>0</v>
      </c>
      <c r="M34" s="138">
        <f>IF(L34=5,5,K34+L34)</f>
        <v>0</v>
      </c>
      <c r="N34" s="144"/>
      <c r="O34" s="144"/>
      <c r="P34" s="147">
        <f>IF(S34=2,0,IF(S34=1.5,0.3-((M34-1)*0.3/4),IF(S34=1.2,0.6-((M34-1)*0.6/4),1.2-((M34-1)*1.2/4))))</f>
        <v>0.75</v>
      </c>
      <c r="Q34" s="132">
        <f>IF(M34&gt;0,P34,0)</f>
        <v>0</v>
      </c>
      <c r="R34" s="132">
        <f>IF(M34=0,0,IF(M34-Q34&gt;=1,M34-Q34,1))</f>
        <v>0</v>
      </c>
      <c r="S34" s="138">
        <v>1.2</v>
      </c>
      <c r="T34" s="139">
        <f>IF(M34&gt;0,S34,0)</f>
        <v>0</v>
      </c>
      <c r="U34" s="139">
        <f>IF(M34&gt;0,S34*R34,0)</f>
        <v>0</v>
      </c>
      <c r="V34" s="140">
        <f>IF(S34=2,R34,0)</f>
        <v>0</v>
      </c>
      <c r="W34" s="65"/>
      <c r="X34" s="65"/>
      <c r="Y34" s="149" t="s">
        <v>84</v>
      </c>
    </row>
    <row r="35" ht="27" customHeight="1" spans="2:25" x14ac:dyDescent="0.25">
      <c r="B35" s="142">
        <v>3007</v>
      </c>
      <c r="C35" s="143" t="s">
        <v>109</v>
      </c>
      <c r="D35" s="143"/>
      <c r="E35" s="138" t="s">
        <v>101</v>
      </c>
      <c r="F35" s="144"/>
      <c r="G35" s="144"/>
      <c r="H35" s="213">
        <v>5.1</v>
      </c>
      <c r="I35" s="146">
        <v>2</v>
      </c>
      <c r="J35" s="144" t="s">
        <v>75</v>
      </c>
      <c r="K35" s="147">
        <f>IF(J35="E",0.7,IF(J35="D",0.3,IF(J35="C",0.1,0)))</f>
        <v>0</v>
      </c>
      <c r="L35" s="147">
        <f>IF(I35="רכיב לא קיים",0,I35)</f>
        <v>2</v>
      </c>
      <c r="M35" s="138">
        <f>IF(L35=5,5,K35+L35)</f>
        <v>2</v>
      </c>
      <c r="N35" s="144"/>
      <c r="O35" s="144"/>
      <c r="P35" s="147">
        <f>IF(S35=2,0,IF(S35=1.5,0.3-((M35-1)*0.3/4),IF(S35=1.2,0.6-((M35-1)*0.6/4),1.2-((M35-1)*1.2/4))))</f>
        <v>0.45</v>
      </c>
      <c r="Q35" s="132">
        <f>IF(M35&gt;0,P35,0)</f>
        <v>0.45</v>
      </c>
      <c r="R35" s="132">
        <f>IF(M35=0,0,IF(M35-Q35&gt;=1,M35-Q35,1))</f>
        <v>1.55</v>
      </c>
      <c r="S35" s="138">
        <v>1.2</v>
      </c>
      <c r="T35" s="139">
        <f>IF(M35&gt;0,S35,0)</f>
        <v>1.2</v>
      </c>
      <c r="U35" s="139">
        <f>IF(M35&gt;0,S35*R35,0)</f>
        <v>1.86</v>
      </c>
      <c r="V35" s="140">
        <f>IF(S35=2,R35,0)</f>
        <v>0</v>
      </c>
      <c r="W35" s="65"/>
      <c r="X35" s="65"/>
      <c r="Y35" s="149"/>
    </row>
    <row r="36" ht="27" customHeight="1" spans="2:25" x14ac:dyDescent="0.25">
      <c r="B36" s="142">
        <v>4001</v>
      </c>
      <c r="C36" s="143" t="s">
        <v>111</v>
      </c>
      <c r="D36" s="143"/>
      <c r="E36" s="138" t="s">
        <v>101</v>
      </c>
      <c r="F36" s="144"/>
      <c r="G36" s="144"/>
      <c r="H36" s="151"/>
      <c r="I36" s="146"/>
      <c r="J36" s="144"/>
      <c r="K36" s="147">
        <f>IF(J36="E",0.7,IF(J36="D",0.3,IF(J36="C",0.1,0)))</f>
        <v>0</v>
      </c>
      <c r="L36" s="147">
        <f>IF(I36="רכיב לא קיים",0,I36)</f>
        <v>0</v>
      </c>
      <c r="M36" s="138">
        <f>IF(L36=5,5,K36+L36)</f>
        <v>0</v>
      </c>
      <c r="N36" s="144"/>
      <c r="O36" s="144"/>
      <c r="P36" s="147">
        <f>IF(S36=2,0,IF(S36=1.5,0.3-((M36-1)*0.3/4),IF(S36=1.2,0.6-((M36-1)*0.6/4),1.2-((M36-1)*1.2/4))))</f>
        <v>0.75</v>
      </c>
      <c r="Q36" s="132">
        <f>IF(M36&gt;0,P36,0)</f>
        <v>0</v>
      </c>
      <c r="R36" s="132">
        <f>IF(M36=0,0,IF(M36-Q36&gt;=1,M36-Q36,1))</f>
        <v>0</v>
      </c>
      <c r="S36" s="138">
        <v>1.2</v>
      </c>
      <c r="T36" s="139">
        <f>IF(M36&gt;0,S36,0)</f>
        <v>0</v>
      </c>
      <c r="U36" s="139">
        <f>IF(M36&gt;0,S36*R36,0)</f>
        <v>0</v>
      </c>
      <c r="V36" s="140">
        <f>IF(S36=2,R36,0)</f>
        <v>0</v>
      </c>
      <c r="W36" s="65"/>
      <c r="X36" s="65"/>
      <c r="Y36" s="149" t="s">
        <v>84</v>
      </c>
    </row>
    <row r="37" ht="27" customHeight="1" spans="2:25" x14ac:dyDescent="0.25">
      <c r="B37" s="142">
        <v>6009</v>
      </c>
      <c r="C37" s="143" t="s">
        <v>112</v>
      </c>
      <c r="D37" s="143"/>
      <c r="E37" s="138" t="s">
        <v>90</v>
      </c>
      <c r="F37" s="144"/>
      <c r="G37" s="144"/>
      <c r="H37" s="145"/>
      <c r="I37" s="146">
        <v>2</v>
      </c>
      <c r="J37" s="144" t="s">
        <v>75</v>
      </c>
      <c r="K37" s="147">
        <f>IF(J37="E",0.7,IF(J37="D",0.3,IF(J37="C",0.1,0)))</f>
        <v>0</v>
      </c>
      <c r="L37" s="147">
        <f>IF(I37="רכיב לא קיים",0,I37)</f>
        <v>2</v>
      </c>
      <c r="M37" s="138">
        <f>IF(L37=5,5,K37+L37)</f>
        <v>2</v>
      </c>
      <c r="N37" s="144"/>
      <c r="O37" s="144"/>
      <c r="P37" s="147">
        <f>IF(S37=2,0,IF(S37=1.5,0.3-((M37-1)*0.3/4),IF(S37=1.2,0.6-((M37-1)*0.6/4),1.2-((M37-1)*1.2/4))))</f>
        <v>0.225</v>
      </c>
      <c r="Q37" s="132">
        <f>IF(M37&gt;0,P37,0)</f>
        <v>0.225</v>
      </c>
      <c r="R37" s="132">
        <f>IF(M37=0,0,IF(M37-Q37&gt;=1,M37-Q37,1))</f>
        <v>1.775</v>
      </c>
      <c r="S37" s="138">
        <v>1.5</v>
      </c>
      <c r="T37" s="139">
        <f>IF(M37&gt;0,S37,0)</f>
        <v>1.5</v>
      </c>
      <c r="U37" s="139">
        <f>IF(M37&gt;0,S37*R37,0)</f>
        <v>2.6625</v>
      </c>
      <c r="V37" s="140">
        <f>IF(S37=2,R37,0)</f>
        <v>0</v>
      </c>
      <c r="W37" s="65"/>
      <c r="X37" s="65"/>
      <c r="Y37" s="149" t="s">
        <v>84</v>
      </c>
    </row>
    <row r="38" ht="27" customHeight="1" spans="2:25" x14ac:dyDescent="0.25">
      <c r="B38" s="142">
        <v>7000</v>
      </c>
      <c r="C38" s="150" t="s">
        <v>114</v>
      </c>
      <c r="D38" s="150"/>
      <c r="E38" s="138" t="s">
        <v>101</v>
      </c>
      <c r="F38" s="144"/>
      <c r="G38" s="144"/>
      <c r="H38" s="145" t="s">
        <v>118</v>
      </c>
      <c r="I38" s="146">
        <v>2</v>
      </c>
      <c r="J38" s="144" t="s">
        <v>75</v>
      </c>
      <c r="K38" s="147">
        <f>IF(J38="E",0.7,IF(J38="D",0.3,IF(J38="C",0.1,0)))</f>
        <v>0</v>
      </c>
      <c r="L38" s="147">
        <f>IF(I38="רכיב לא קיים",0,I38)</f>
        <v>2</v>
      </c>
      <c r="M38" s="138">
        <f>IF(L38=5,5,K38+L38)</f>
        <v>2</v>
      </c>
      <c r="N38" s="144"/>
      <c r="O38" s="144"/>
      <c r="P38" s="147">
        <f>IF(S38=2,0,IF(S38=1.5,0.3-((M38-1)*0.3/4),IF(S38=1.2,0.6-((M38-1)*0.6/4),1.2-((M38-1)*1.2/4))))</f>
        <v>0.45</v>
      </c>
      <c r="Q38" s="132">
        <f>IF(M38&gt;0,P38,0)</f>
        <v>0.45</v>
      </c>
      <c r="R38" s="132">
        <f>IF(M38=0,0,IF(M38-Q38&gt;=1,M38-Q38,1))</f>
        <v>1.55</v>
      </c>
      <c r="S38" s="138">
        <v>1.2</v>
      </c>
      <c r="T38" s="139">
        <f>IF(M38&gt;0,S38,0)</f>
        <v>1.2</v>
      </c>
      <c r="U38" s="139">
        <f>IF(M38&gt;0,S38*R38,0)</f>
        <v>1.86</v>
      </c>
      <c r="V38" s="140">
        <f>IF(S38=2,R38,0)</f>
        <v>0</v>
      </c>
      <c r="W38" s="65"/>
      <c r="X38" s="65"/>
      <c r="Y38" s="149"/>
    </row>
    <row r="39" ht="27" customHeight="1" spans="2:25" x14ac:dyDescent="0.25">
      <c r="B39" s="142">
        <v>7001</v>
      </c>
      <c r="C39" s="153" t="s">
        <v>116</v>
      </c>
      <c r="D39" s="153"/>
      <c r="E39" s="138" t="s">
        <v>117</v>
      </c>
      <c r="F39" s="144"/>
      <c r="G39" s="144"/>
      <c r="H39" s="145" t="s">
        <v>115</v>
      </c>
      <c r="I39" s="146">
        <v>2</v>
      </c>
      <c r="J39" s="144" t="s">
        <v>75</v>
      </c>
      <c r="K39" s="147">
        <f>IF(J39="E",0.7,IF(J39="D",0.3,IF(J39="C",0.1,0)))</f>
        <v>0</v>
      </c>
      <c r="L39" s="147">
        <f>IF(I39="רכיב לא קיים",0,I39)</f>
        <v>2</v>
      </c>
      <c r="M39" s="138">
        <f>IF(L39=5,5,K39+L39)</f>
        <v>2</v>
      </c>
      <c r="N39" s="144"/>
      <c r="O39" s="144"/>
      <c r="P39" s="147">
        <f>IF(S39=2,0,IF(S39=1.5,0.3-((M39-1)*0.3/4),IF(S39=1.2,0.6-((M39-1)*0.6/4),1.2-((M39-1)*1.2/4))))</f>
        <v>0.9</v>
      </c>
      <c r="Q39" s="132">
        <f>IF(M39&gt;0,P39,0)</f>
        <v>0.9</v>
      </c>
      <c r="R39" s="132">
        <f>IF(M39=0,0,IF(M39-Q39&gt;=1,M39-Q39,1))</f>
        <v>1.1</v>
      </c>
      <c r="S39" s="138">
        <v>1</v>
      </c>
      <c r="T39" s="139">
        <f>IF(M39&gt;0,S39,0)</f>
        <v>1</v>
      </c>
      <c r="U39" s="139">
        <f>IF(M39&gt;0,S39*R39,0)</f>
        <v>1.1</v>
      </c>
      <c r="V39" s="140">
        <f>IF(S39=2,R39,0)</f>
        <v>0</v>
      </c>
      <c r="W39" s="65"/>
      <c r="X39" s="65"/>
      <c r="Y39" s="149"/>
    </row>
    <row r="40" ht="27" customHeight="1" spans="2:25" x14ac:dyDescent="0.25">
      <c r="B40" s="142">
        <v>5001</v>
      </c>
      <c r="C40" s="143" t="s">
        <v>119</v>
      </c>
      <c r="D40" s="143"/>
      <c r="E40" s="138" t="s">
        <v>101</v>
      </c>
      <c r="F40" s="144"/>
      <c r="G40" s="144"/>
      <c r="H40" s="145"/>
      <c r="I40" s="146"/>
      <c r="J40" s="144"/>
      <c r="K40" s="147">
        <f>IF(J40="E",0.7,IF(J40="D",0.3,IF(J40="C",0.1,0)))</f>
        <v>0</v>
      </c>
      <c r="L40" s="147">
        <f>IF(I40="רכיב לא קיים",0,I40)</f>
        <v>0</v>
      </c>
      <c r="M40" s="138">
        <f>IF(L40=5,5,K40+L40)</f>
        <v>0</v>
      </c>
      <c r="N40" s="144"/>
      <c r="O40" s="144"/>
      <c r="P40" s="147">
        <f>IF(S40=2,0,IF(S40=1.5,0.3-((M40-1)*0.3/4),IF(S40=1.2,0.6-((M40-1)*0.6/4),1.2-((M40-1)*1.2/4))))</f>
        <v>0.75</v>
      </c>
      <c r="Q40" s="132">
        <f>IF(M40&gt;0,P40,0)</f>
        <v>0</v>
      </c>
      <c r="R40" s="132">
        <f>IF(M40=0,0,IF(M40-Q40&gt;=1,M40-Q40,1))</f>
        <v>0</v>
      </c>
      <c r="S40" s="138">
        <v>1.2</v>
      </c>
      <c r="T40" s="139">
        <f>IF(M40&gt;0,S40,0)</f>
        <v>0</v>
      </c>
      <c r="U40" s="139">
        <f>IF(M40&gt;0,S40*R40,0)</f>
        <v>0</v>
      </c>
      <c r="V40" s="140">
        <f>IF(S40=2,R40,0)</f>
        <v>0</v>
      </c>
      <c r="W40" s="65"/>
      <c r="X40" s="65"/>
      <c r="Y40" s="149" t="s">
        <v>84</v>
      </c>
    </row>
    <row r="41" ht="27" customHeight="1" spans="2:25" x14ac:dyDescent="0.25">
      <c r="B41" s="142">
        <v>5002</v>
      </c>
      <c r="C41" s="143" t="s">
        <v>120</v>
      </c>
      <c r="D41" s="143"/>
      <c r="E41" s="138" t="s">
        <v>101</v>
      </c>
      <c r="F41" s="144"/>
      <c r="G41" s="144"/>
      <c r="H41" s="145" t="s">
        <v>141</v>
      </c>
      <c r="I41" s="146">
        <v>2</v>
      </c>
      <c r="J41" s="144" t="s">
        <v>75</v>
      </c>
      <c r="K41" s="147">
        <f>IF(J41="E",0.7,IF(J41="D",0.3,IF(J41="C",0.1,0)))</f>
        <v>0</v>
      </c>
      <c r="L41" s="147">
        <f>IF(I41="רכיב לא קיים",0,I41)</f>
        <v>2</v>
      </c>
      <c r="M41" s="138">
        <f>IF(L41=5,5,K41+L41)</f>
        <v>2</v>
      </c>
      <c r="N41" s="144"/>
      <c r="O41" s="144"/>
      <c r="P41" s="147">
        <f>IF(S41=2,0,IF(S41=1.5,0.3-((M41-1)*0.3/4),IF(S41=1.2,0.6-((M41-1)*0.6/4),1.2-((M41-1)*1.2/4))))</f>
        <v>0.45</v>
      </c>
      <c r="Q41" s="132">
        <f>IF(M41&gt;0,P41,0)</f>
        <v>0.45</v>
      </c>
      <c r="R41" s="132">
        <f>IF(M41=0,0,IF(M41-Q41&gt;=1,M41-Q41,1))</f>
        <v>1.55</v>
      </c>
      <c r="S41" s="138">
        <v>1.2</v>
      </c>
      <c r="T41" s="139">
        <f>IF(M41&gt;0,S41,0)</f>
        <v>1.2</v>
      </c>
      <c r="U41" s="139">
        <f>IF(M41&gt;0,S41*R41,0)</f>
        <v>1.86</v>
      </c>
      <c r="V41" s="140">
        <f>IF(S41=2,R41,0)</f>
        <v>0</v>
      </c>
      <c r="W41" s="65"/>
      <c r="X41" s="65"/>
      <c r="Y41" s="149"/>
    </row>
    <row r="42" ht="27" customHeight="1" spans="2:25" x14ac:dyDescent="0.25">
      <c r="B42" s="142">
        <v>5003</v>
      </c>
      <c r="C42" s="143" t="s">
        <v>121</v>
      </c>
      <c r="D42" s="143"/>
      <c r="E42" s="138" t="s">
        <v>101</v>
      </c>
      <c r="F42" s="144"/>
      <c r="G42" s="144"/>
      <c r="H42" s="151"/>
      <c r="I42" s="146"/>
      <c r="J42" s="144"/>
      <c r="K42" s="147">
        <f>IF(J42="E",0.7,IF(J42="D",0.3,IF(J42="C",0.1,0)))</f>
        <v>0</v>
      </c>
      <c r="L42" s="147">
        <f>IF(I42="רכיב לא קיים",0,I42)</f>
        <v>0</v>
      </c>
      <c r="M42" s="138">
        <f>IF(L42=5,5,K42+L42)</f>
        <v>0</v>
      </c>
      <c r="N42" s="144"/>
      <c r="O42" s="144"/>
      <c r="P42" s="147">
        <f>IF(S42=2,0,IF(S42=1.5,0.3-((M42-1)*0.3/4),IF(S42=1.2,0.6-((M42-1)*0.6/4),1.2-((M42-1)*1.2/4))))</f>
        <v>0.75</v>
      </c>
      <c r="Q42" s="132">
        <f>IF(M42&gt;0,P42,0)</f>
        <v>0</v>
      </c>
      <c r="R42" s="132">
        <f>IF(M42=0,0,IF(M42-Q42&gt;=1,M42-Q42,1))</f>
        <v>0</v>
      </c>
      <c r="S42" s="138">
        <v>1.2</v>
      </c>
      <c r="T42" s="139">
        <f>IF(M42&gt;0,S42,0)</f>
        <v>0</v>
      </c>
      <c r="U42" s="139">
        <f>IF(M42&gt;0,S42*R42,0)</f>
        <v>0</v>
      </c>
      <c r="V42" s="140">
        <f>IF(S42=2,R42,0)</f>
        <v>0</v>
      </c>
      <c r="W42" s="65"/>
      <c r="X42" s="65"/>
      <c r="Y42" s="149" t="s">
        <v>84</v>
      </c>
    </row>
    <row r="43" ht="27" customHeight="1" spans="2:25" x14ac:dyDescent="0.25">
      <c r="B43" s="142">
        <v>5004</v>
      </c>
      <c r="C43" s="143" t="s">
        <v>122</v>
      </c>
      <c r="D43" s="143"/>
      <c r="E43" s="138" t="s">
        <v>101</v>
      </c>
      <c r="F43" s="144"/>
      <c r="G43" s="144"/>
      <c r="H43" s="151"/>
      <c r="I43" s="146"/>
      <c r="J43" s="144"/>
      <c r="K43" s="147">
        <f>IF(J43="E",0.7,IF(J43="D",0.3,IF(J43="C",0.1,0)))</f>
        <v>0</v>
      </c>
      <c r="L43" s="147">
        <f>IF(I43="רכיב לא קיים",0,I43)</f>
        <v>0</v>
      </c>
      <c r="M43" s="138">
        <f>IF(L43=5,5,K43+L43)</f>
        <v>0</v>
      </c>
      <c r="N43" s="144"/>
      <c r="O43" s="144"/>
      <c r="P43" s="147">
        <f>IF(S43=2,0,IF(S43=1.5,0.3-((M43-1)*0.3/4),IF(S43=1.2,0.6-((M43-1)*0.6/4),1.2-((M43-1)*1.2/4))))</f>
        <v>0.75</v>
      </c>
      <c r="Q43" s="132">
        <f>IF(M43&gt;0,P43,0)</f>
        <v>0</v>
      </c>
      <c r="R43" s="132">
        <f>IF(M43=0,0,IF(M43-Q43&gt;=1,M43-Q43,1))</f>
        <v>0</v>
      </c>
      <c r="S43" s="138">
        <v>1.2</v>
      </c>
      <c r="T43" s="139">
        <f>IF(M43&gt;0,S43,0)</f>
        <v>0</v>
      </c>
      <c r="U43" s="139">
        <f>IF(M43&gt;0,S43*R43,0)</f>
        <v>0</v>
      </c>
      <c r="V43" s="140">
        <f>IF(S43=2,R43,0)</f>
        <v>0</v>
      </c>
      <c r="W43" s="65"/>
      <c r="X43" s="65"/>
      <c r="Y43" s="149" t="s">
        <v>84</v>
      </c>
    </row>
    <row r="44" ht="27" customHeight="1" spans="2:25" x14ac:dyDescent="0.25">
      <c r="B44" s="142">
        <v>5005</v>
      </c>
      <c r="C44" s="143" t="s">
        <v>123</v>
      </c>
      <c r="D44" s="143"/>
      <c r="E44" s="138" t="s">
        <v>117</v>
      </c>
      <c r="F44" s="144"/>
      <c r="G44" s="144"/>
      <c r="H44" s="151"/>
      <c r="I44" s="146"/>
      <c r="J44" s="144"/>
      <c r="K44" s="147">
        <f>IF(J44="E",0.7,IF(J44="D",0.3,IF(J44="C",0.1,0)))</f>
        <v>0</v>
      </c>
      <c r="L44" s="147">
        <f>IF(I44="רכיב לא קיים",0,I44)</f>
        <v>0</v>
      </c>
      <c r="M44" s="138">
        <f>IF(L44=5,5,K44+L44)</f>
        <v>0</v>
      </c>
      <c r="N44" s="144"/>
      <c r="O44" s="144"/>
      <c r="P44" s="147">
        <f>IF(S44=2,0,IF(S44=1.5,0.3-((M44-1)*0.3/4),IF(S44=1.2,0.6-((M44-1)*0.6/4),1.2-((M44-1)*1.2/4))))</f>
        <v>1.5</v>
      </c>
      <c r="Q44" s="132">
        <f>IF(M44&gt;0,P44,0)</f>
        <v>0</v>
      </c>
      <c r="R44" s="132">
        <f>IF(M44=0,0,IF(M44-Q44&gt;=1,M44-Q44,1))</f>
        <v>0</v>
      </c>
      <c r="S44" s="138">
        <v>1</v>
      </c>
      <c r="T44" s="139">
        <f>IF(M44&gt;0,S44,0)</f>
        <v>0</v>
      </c>
      <c r="U44" s="139">
        <f>IF(M44&gt;0,S44*R44,0)</f>
        <v>0</v>
      </c>
      <c r="V44" s="140">
        <f>IF(S44=2,R44,0)</f>
        <v>0</v>
      </c>
      <c r="W44" s="65"/>
      <c r="X44" s="65"/>
      <c r="Y44" s="149" t="s">
        <v>84</v>
      </c>
    </row>
    <row r="45" ht="27" customHeight="1" spans="2:25" x14ac:dyDescent="0.25">
      <c r="B45" s="142">
        <v>5006</v>
      </c>
      <c r="C45" s="150" t="s">
        <v>124</v>
      </c>
      <c r="D45" s="150"/>
      <c r="E45" s="138" t="s">
        <v>90</v>
      </c>
      <c r="F45" s="144"/>
      <c r="G45" s="144"/>
      <c r="H45" s="151"/>
      <c r="I45" s="146"/>
      <c r="J45" s="144"/>
      <c r="K45" s="147">
        <f>IF(J45="E",0.7,IF(J45="D",0.3,IF(J45="C",0.1,0)))</f>
        <v>0</v>
      </c>
      <c r="L45" s="147">
        <f>IF(I45="רכיב לא קיים",0,I45)</f>
        <v>0</v>
      </c>
      <c r="M45" s="138">
        <f>IF(L45=5,5,K45+L45)</f>
        <v>0</v>
      </c>
      <c r="N45" s="144"/>
      <c r="O45" s="144"/>
      <c r="P45" s="147">
        <f>IF(S45=2,0,IF(S45=1.5,0.3-((M45-1)*0.3/4),IF(S45=1.2,0.6-((M45-1)*0.6/4),1.2-((M45-1)*1.2/4))))</f>
        <v>0.375</v>
      </c>
      <c r="Q45" s="132">
        <f>IF(M45&gt;0,P45,0)</f>
        <v>0</v>
      </c>
      <c r="R45" s="132">
        <f>IF(M45=0,0,IF(M45-Q45&gt;=1,M45-Q45,1))</f>
        <v>0</v>
      </c>
      <c r="S45" s="138">
        <v>1.5</v>
      </c>
      <c r="T45" s="139">
        <f>IF(M45&gt;0,S45,0)</f>
        <v>0</v>
      </c>
      <c r="U45" s="139">
        <f>IF(M45&gt;0,S45*R45,0)</f>
        <v>0</v>
      </c>
      <c r="V45" s="140">
        <f>IF(S45=2,R45,0)</f>
        <v>0</v>
      </c>
      <c r="W45" s="65"/>
      <c r="X45" s="65"/>
      <c r="Y45" s="149" t="s">
        <v>84</v>
      </c>
    </row>
    <row r="46" ht="27" customHeight="1" spans="2:25" x14ac:dyDescent="0.25">
      <c r="B46" s="142">
        <v>5007</v>
      </c>
      <c r="C46" s="143" t="s">
        <v>125</v>
      </c>
      <c r="D46" s="143"/>
      <c r="E46" s="138" t="s">
        <v>101</v>
      </c>
      <c r="F46" s="144"/>
      <c r="G46" s="144"/>
      <c r="H46" s="151"/>
      <c r="I46" s="146"/>
      <c r="J46" s="144"/>
      <c r="K46" s="147">
        <f>IF(J46="E",0.7,IF(J46="D",0.3,IF(J46="C",0.1,0)))</f>
        <v>0</v>
      </c>
      <c r="L46" s="147">
        <f>IF(I46="רכיב לא קיים",0,I46)</f>
        <v>0</v>
      </c>
      <c r="M46" s="138">
        <f>IF(L46=5,5,K46+L46)</f>
        <v>0</v>
      </c>
      <c r="N46" s="144"/>
      <c r="O46" s="144"/>
      <c r="P46" s="147">
        <f>IF(S46=2,0,IF(S46=1.5,0.3-((M46-1)*0.3/4),IF(S46=1.2,0.6-((M46-1)*0.6/4),1.2-((M46-1)*1.2/4))))</f>
        <v>0.75</v>
      </c>
      <c r="Q46" s="132">
        <f>IF(M46&gt;0,P46,0)</f>
        <v>0</v>
      </c>
      <c r="R46" s="132">
        <f>IF(M46=0,0,IF(M46-Q46&gt;=1,M46-Q46,1))</f>
        <v>0</v>
      </c>
      <c r="S46" s="138">
        <v>1.2</v>
      </c>
      <c r="T46" s="139">
        <f>IF(M46&gt;0,S46,0)</f>
        <v>0</v>
      </c>
      <c r="U46" s="139">
        <f>IF(M46&gt;0,S46*R46,0)</f>
        <v>0</v>
      </c>
      <c r="V46" s="140">
        <f>IF(S46=2,R46,0)</f>
        <v>0</v>
      </c>
      <c r="W46" s="65"/>
      <c r="X46" s="65"/>
      <c r="Y46" s="149" t="s">
        <v>84</v>
      </c>
    </row>
    <row r="47" ht="27" customHeight="1" spans="2:25" x14ac:dyDescent="0.25">
      <c r="B47" s="142">
        <v>5008</v>
      </c>
      <c r="C47" s="150" t="s">
        <v>126</v>
      </c>
      <c r="D47" s="150"/>
      <c r="E47" s="138" t="s">
        <v>117</v>
      </c>
      <c r="F47" s="144"/>
      <c r="G47" s="144"/>
      <c r="H47" s="145"/>
      <c r="I47" s="146"/>
      <c r="J47" s="144"/>
      <c r="K47" s="147">
        <f>IF(J47="E",0.7,IF(J47="D",0.3,IF(J47="C",0.1,0)))</f>
        <v>0</v>
      </c>
      <c r="L47" s="147">
        <f>IF(I47="רכיב לא קיים",0,I47)</f>
        <v>0</v>
      </c>
      <c r="M47" s="138">
        <f>IF(L47=5,5,K47+L47)</f>
        <v>0</v>
      </c>
      <c r="N47" s="144"/>
      <c r="O47" s="144"/>
      <c r="P47" s="147">
        <f>IF(S47=2,0,IF(S47=1.5,0.3-((M47-1)*0.3/4),IF(S47=1.2,0.6-((M47-1)*0.6/4),1.2-((M47-1)*1.2/4))))</f>
        <v>1.5</v>
      </c>
      <c r="Q47" s="132">
        <f>IF(M47&gt;0,P47,0)</f>
        <v>0</v>
      </c>
      <c r="R47" s="132">
        <f>IF(M47=0,0,IF(M47-Q47&gt;=1,M47-Q47,1))</f>
        <v>0</v>
      </c>
      <c r="S47" s="138">
        <v>1</v>
      </c>
      <c r="T47" s="139">
        <f>IF(M47&gt;0,S47,0)</f>
        <v>0</v>
      </c>
      <c r="U47" s="139">
        <f>IF(M47&gt;0,S47*R47,0)</f>
        <v>0</v>
      </c>
      <c r="V47" s="140">
        <f>IF(S47=2,R47,0)</f>
        <v>0</v>
      </c>
      <c r="W47" s="65"/>
      <c r="X47" s="65"/>
      <c r="Y47" s="149" t="s">
        <v>84</v>
      </c>
    </row>
    <row r="48" ht="27" customHeight="1" spans="2:25" x14ac:dyDescent="0.25">
      <c r="B48" s="154">
        <v>3004</v>
      </c>
      <c r="C48" s="155" t="s">
        <v>142</v>
      </c>
      <c r="D48" s="155"/>
      <c r="E48" s="156" t="s">
        <v>101</v>
      </c>
      <c r="F48" s="157"/>
      <c r="G48" s="157"/>
      <c r="H48" s="158"/>
      <c r="I48" s="159"/>
      <c r="J48" s="157"/>
      <c r="K48" s="160">
        <f>IF(J48="E",0.7,IF(J48="D",0.3,IF(J48="C",0.1,0)))</f>
        <v>0</v>
      </c>
      <c r="L48" s="160">
        <f>IF(I48="רכיב לא קיים",0,I48)</f>
        <v>0</v>
      </c>
      <c r="M48" s="156">
        <f>IF(L48=5,5,K48+L48)</f>
        <v>0</v>
      </c>
      <c r="N48" s="157"/>
      <c r="O48" s="157"/>
      <c r="P48" s="160">
        <f>IF(S48=2,0,IF(S48=1.5,0.3-((M48-1)*0.3/4),IF(S48=1.2,0.6-((M48-1)*0.6/4),1.2-((M48-1)*1.2/4))))</f>
        <v>0.75</v>
      </c>
      <c r="Q48" s="161">
        <f>IF(M48&gt;0,P48,0)</f>
        <v>0</v>
      </c>
      <c r="R48" s="161">
        <f>IF(M48=0,0,IF(M48-Q48&gt;=1,M48-Q48,1))</f>
        <v>0</v>
      </c>
      <c r="S48" s="156">
        <v>1.2</v>
      </c>
      <c r="T48" s="139">
        <f>IF(M48&gt;0,S48,0)</f>
        <v>0</v>
      </c>
      <c r="U48" s="139">
        <f>IF(M48&gt;0,S48*R48,0)</f>
        <v>0</v>
      </c>
      <c r="V48" s="140">
        <f>IF(S48=2,R48,0)</f>
        <v>0</v>
      </c>
      <c r="W48" s="109"/>
      <c r="X48" s="109"/>
      <c r="Y48" s="149" t="s">
        <v>84</v>
      </c>
    </row>
    <row r="49" ht="13.5" customHeight="1" spans="3:20" x14ac:dyDescent="0.25">
      <c r="C49" s="162"/>
      <c r="D49" s="6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63"/>
      <c r="R49" s="163"/>
      <c r="S49" s="105"/>
      <c r="T49" s="164"/>
    </row>
    <row r="50" ht="19.5" customHeight="1" spans="3:15" x14ac:dyDescent="0.25">
      <c r="C50" s="165"/>
      <c r="D50" s="166"/>
      <c r="E50" s="167"/>
      <c r="F50" s="168" t="s">
        <v>128</v>
      </c>
      <c r="G50" s="169"/>
      <c r="H50" s="169"/>
      <c r="I50" s="170"/>
      <c r="J50" s="171"/>
      <c r="K50" s="164"/>
      <c r="L50" s="164"/>
      <c r="N50" s="172"/>
      <c r="O50" s="172"/>
    </row>
    <row r="51" ht="13.5" customHeight="1" spans="3:19" x14ac:dyDescent="0.25">
      <c r="C51" s="173"/>
      <c r="D51" s="174"/>
      <c r="E51" s="174"/>
      <c r="F51" s="174"/>
      <c r="G51" s="174"/>
      <c r="H51" s="175"/>
      <c r="I51" s="175"/>
      <c r="J51" s="176"/>
      <c r="K51" s="164"/>
      <c r="L51" s="164"/>
      <c r="N51" s="164"/>
      <c r="O51" s="164"/>
      <c r="S51" s="164"/>
    </row>
    <row r="52" ht="16.5" customHeight="1" spans="3:19" x14ac:dyDescent="0.25">
      <c r="C52" s="177">
        <f>SUM(U15:U48)/SUM(T15:T48)</f>
        <v>1.79734042553191</v>
      </c>
      <c r="D52" s="178" t="s">
        <v>129</v>
      </c>
      <c r="E52" s="178"/>
      <c r="F52" s="178"/>
      <c r="G52" s="179" t="s">
        <v>130</v>
      </c>
      <c r="H52" s="180"/>
      <c r="I52" s="181"/>
      <c r="J52" s="176"/>
      <c r="K52" s="164"/>
      <c r="L52" s="164"/>
      <c r="S52" s="164"/>
    </row>
    <row r="53" ht="15" customHeight="1" spans="3:19" x14ac:dyDescent="0.25">
      <c r="C53" s="182"/>
      <c r="D53" s="181"/>
      <c r="E53" s="183"/>
      <c r="F53" s="183"/>
      <c r="G53" s="183"/>
      <c r="H53" s="183"/>
      <c r="I53" s="183"/>
      <c r="J53" s="176"/>
      <c r="K53" s="164"/>
      <c r="L53" s="164"/>
      <c r="M53" s="164"/>
      <c r="N53" s="164"/>
      <c r="O53" s="164"/>
      <c r="R53" s="164"/>
      <c r="S53" s="164"/>
    </row>
    <row r="54" ht="13.5" customHeight="1" spans="3:19" x14ac:dyDescent="0.25">
      <c r="C54" s="173"/>
      <c r="D54" s="184"/>
      <c r="E54" s="184"/>
      <c r="F54" s="184"/>
      <c r="G54" s="184"/>
      <c r="H54" s="184"/>
      <c r="I54" s="184"/>
      <c r="J54" s="176"/>
      <c r="K54" s="164"/>
      <c r="L54" s="164"/>
      <c r="M54" s="164"/>
      <c r="N54" s="164"/>
      <c r="O54" s="164"/>
      <c r="R54" s="164"/>
      <c r="S54" s="164"/>
    </row>
    <row r="55" ht="16.5" customHeight="1" spans="3:19" x14ac:dyDescent="0.25">
      <c r="C55" s="185">
        <f>MAX(V15:V48)</f>
        <v>2</v>
      </c>
      <c r="D55" s="186" t="s">
        <v>131</v>
      </c>
      <c r="E55" s="186"/>
      <c r="F55" s="186"/>
      <c r="G55" s="186"/>
      <c r="H55" s="187" t="s">
        <v>132</v>
      </c>
      <c r="I55" s="184"/>
      <c r="J55" s="188"/>
      <c r="K55" s="189"/>
      <c r="L55" s="190"/>
      <c r="M55" s="191"/>
      <c r="N55" s="164"/>
      <c r="O55" s="164"/>
      <c r="R55" s="164"/>
      <c r="S55" s="164"/>
    </row>
    <row r="56" ht="13.5" customHeight="1" spans="3:19" x14ac:dyDescent="0.25">
      <c r="C56" s="192"/>
      <c r="D56" s="174"/>
      <c r="E56" s="174"/>
      <c r="F56" s="174"/>
      <c r="G56" s="174"/>
      <c r="H56" s="174"/>
      <c r="I56" s="174"/>
      <c r="J56" s="184"/>
      <c r="K56" s="164"/>
      <c r="L56" s="164"/>
      <c r="M56" s="191"/>
      <c r="N56" s="164"/>
      <c r="O56" s="164"/>
      <c r="R56" s="164"/>
      <c r="S56" s="164"/>
    </row>
    <row r="57" ht="13.5" customHeight="1" spans="3:19" x14ac:dyDescent="0.25">
      <c r="C57" s="164"/>
      <c r="D57" s="164"/>
      <c r="E57" s="164"/>
      <c r="F57" s="164"/>
      <c r="G57" s="164"/>
      <c r="H57" s="164"/>
      <c r="I57" s="193"/>
      <c r="J57" s="164"/>
      <c r="K57" s="164"/>
      <c r="L57" s="164"/>
      <c r="M57" s="164"/>
      <c r="N57" s="164"/>
      <c r="O57" s="164"/>
      <c r="R57" s="164"/>
      <c r="S57" s="164"/>
    </row>
    <row r="58" ht="18.75" customHeight="1" spans="3:19" x14ac:dyDescent="0.25">
      <c r="C58" s="194"/>
      <c r="D58" s="194"/>
      <c r="E58" s="195" t="s">
        <v>133</v>
      </c>
      <c r="F58" s="195"/>
      <c r="G58" s="195"/>
      <c r="H58" s="195"/>
      <c r="I58" s="167"/>
      <c r="J58" s="196"/>
      <c r="K58" s="65"/>
      <c r="L58" s="65"/>
      <c r="M58" s="65"/>
      <c r="N58" s="65"/>
      <c r="O58" s="65"/>
      <c r="R58" s="164"/>
      <c r="S58" s="164"/>
    </row>
    <row r="59" ht="13.5" customHeight="1" spans="3:15" x14ac:dyDescent="0.25">
      <c r="C59" s="180"/>
      <c r="D59" s="197"/>
      <c r="E59" s="197"/>
      <c r="F59" s="197"/>
      <c r="G59" s="197"/>
      <c r="H59" s="197"/>
      <c r="I59" s="197"/>
      <c r="J59" s="198"/>
      <c r="K59" s="65"/>
      <c r="L59" s="65"/>
      <c r="M59" s="65"/>
      <c r="N59" s="65"/>
      <c r="O59" s="65"/>
    </row>
    <row r="60" ht="18.75" customHeight="1" spans="3:17" x14ac:dyDescent="0.25">
      <c r="C60" s="60">
        <f>100-(2*((C52*C52)+(6.5*C52)-7.5))</f>
        <v>85.1737092575826</v>
      </c>
      <c r="D60" s="199" t="s">
        <v>134</v>
      </c>
      <c r="E60" s="199"/>
      <c r="F60" s="199"/>
      <c r="G60" s="199"/>
      <c r="H60" s="200" t="s">
        <v>135</v>
      </c>
      <c r="I60" s="201"/>
      <c r="J60" s="202"/>
      <c r="K60" s="65"/>
      <c r="L60" s="65"/>
      <c r="M60" s="65"/>
      <c r="N60" s="65"/>
      <c r="O60" s="65"/>
      <c r="P60" s="65"/>
      <c r="Q60" s="65"/>
    </row>
    <row r="61" ht="12.75" customHeight="1" spans="3:15" x14ac:dyDescent="0.25">
      <c r="C61" s="180"/>
      <c r="D61" s="203"/>
      <c r="E61" s="203"/>
      <c r="F61" s="203"/>
      <c r="G61" s="203"/>
      <c r="H61" s="203"/>
      <c r="I61" s="203"/>
      <c r="J61" s="198"/>
      <c r="K61" s="65"/>
      <c r="L61" s="65"/>
      <c r="M61" s="65"/>
      <c r="N61" s="65"/>
      <c r="O61" s="65"/>
    </row>
    <row r="62" ht="15.75" customHeight="1" spans="3:15" x14ac:dyDescent="0.25">
      <c r="C62" s="204"/>
      <c r="D62" s="204"/>
      <c r="E62" s="203"/>
      <c r="F62" s="203"/>
      <c r="G62" s="203"/>
      <c r="H62" s="203"/>
      <c r="I62" s="203"/>
      <c r="J62" s="198"/>
      <c r="K62" s="65"/>
      <c r="L62" s="65"/>
      <c r="M62" s="65"/>
      <c r="N62" s="65"/>
      <c r="O62" s="65"/>
    </row>
    <row r="63" ht="18.75" customHeight="1" spans="3:15" x14ac:dyDescent="0.25">
      <c r="C63" s="205">
        <f>100-(2*((C55*C55)+(6.5*C55)-7.5))</f>
        <v>81</v>
      </c>
      <c r="D63" s="206" t="s">
        <v>136</v>
      </c>
      <c r="E63" s="206"/>
      <c r="F63" s="206"/>
      <c r="G63" s="206"/>
      <c r="H63" s="200" t="s">
        <v>137</v>
      </c>
      <c r="I63" s="207"/>
      <c r="J63" s="198"/>
      <c r="K63" s="208"/>
      <c r="L63" s="208"/>
      <c r="M63" s="65"/>
      <c r="N63" s="65"/>
      <c r="O63" s="65"/>
    </row>
    <row r="64" ht="13.5" customHeight="1" spans="3:14" x14ac:dyDescent="0.25">
      <c r="C64" s="209"/>
      <c r="D64" s="210"/>
      <c r="E64" s="210"/>
      <c r="F64" s="210"/>
      <c r="G64" s="210"/>
      <c r="H64" s="210"/>
      <c r="I64" s="197"/>
      <c r="J64" s="211"/>
      <c r="K64" s="65"/>
      <c r="L64" s="65"/>
      <c r="M64" s="65"/>
      <c r="N64" s="65"/>
    </row>
  </sheetData>
  <mergeCells count="138">
    <mergeCell ref="B3:C3"/>
    <mergeCell ref="D3:F3"/>
    <mergeCell ref="H3:M3"/>
    <mergeCell ref="N3:O3"/>
    <mergeCell ref="B4:C4"/>
    <mergeCell ref="D4:F4"/>
    <mergeCell ref="H4:M4"/>
    <mergeCell ref="N4:Q4"/>
    <mergeCell ref="R4:S4"/>
    <mergeCell ref="B5:H5"/>
    <mergeCell ref="M5:Y5"/>
    <mergeCell ref="B7:D7"/>
    <mergeCell ref="E7:F7"/>
    <mergeCell ref="M7:N7"/>
    <mergeCell ref="O7:P7"/>
    <mergeCell ref="R7:S7"/>
    <mergeCell ref="B9:Y9"/>
    <mergeCell ref="C11:D11"/>
    <mergeCell ref="F11:G11"/>
    <mergeCell ref="N11:O11"/>
    <mergeCell ref="C12:D12"/>
    <mergeCell ref="F12:G12"/>
    <mergeCell ref="N12:O12"/>
    <mergeCell ref="C13:D13"/>
    <mergeCell ref="F13:G13"/>
    <mergeCell ref="N13:O13"/>
    <mergeCell ref="C14:D14"/>
    <mergeCell ref="F14:G14"/>
    <mergeCell ref="N14:O14"/>
    <mergeCell ref="C15:D15"/>
    <mergeCell ref="F15:G15"/>
    <mergeCell ref="N15:O15"/>
    <mergeCell ref="C16:D16"/>
    <mergeCell ref="F16:G16"/>
    <mergeCell ref="N16:O16"/>
    <mergeCell ref="C17:D17"/>
    <mergeCell ref="F17:G17"/>
    <mergeCell ref="N17:O17"/>
    <mergeCell ref="C18:D18"/>
    <mergeCell ref="F18:G18"/>
    <mergeCell ref="N18:O18"/>
    <mergeCell ref="C19:D19"/>
    <mergeCell ref="F19:G19"/>
    <mergeCell ref="N19:O19"/>
    <mergeCell ref="C20:D20"/>
    <mergeCell ref="F20:G20"/>
    <mergeCell ref="N20:O20"/>
    <mergeCell ref="C21:D21"/>
    <mergeCell ref="F21:G21"/>
    <mergeCell ref="N21:O21"/>
    <mergeCell ref="C22:D22"/>
    <mergeCell ref="F22:G22"/>
    <mergeCell ref="N22:O22"/>
    <mergeCell ref="C23:D23"/>
    <mergeCell ref="F23:G23"/>
    <mergeCell ref="N23:O23"/>
    <mergeCell ref="C24:D24"/>
    <mergeCell ref="F24:G24"/>
    <mergeCell ref="N24:O24"/>
    <mergeCell ref="C25:D25"/>
    <mergeCell ref="F25:G25"/>
    <mergeCell ref="N25:O25"/>
    <mergeCell ref="C26:D26"/>
    <mergeCell ref="F26:G26"/>
    <mergeCell ref="N26:O26"/>
    <mergeCell ref="C27:D27"/>
    <mergeCell ref="F27:G27"/>
    <mergeCell ref="N27:O27"/>
    <mergeCell ref="C28:D28"/>
    <mergeCell ref="F28:G28"/>
    <mergeCell ref="N28:O28"/>
    <mergeCell ref="C29:D29"/>
    <mergeCell ref="F29:G29"/>
    <mergeCell ref="N29:O29"/>
    <mergeCell ref="C30:D30"/>
    <mergeCell ref="F30:G30"/>
    <mergeCell ref="N30:O30"/>
    <mergeCell ref="C31:D31"/>
    <mergeCell ref="F31:G31"/>
    <mergeCell ref="N31:O31"/>
    <mergeCell ref="C32:D32"/>
    <mergeCell ref="F32:G32"/>
    <mergeCell ref="N32:O32"/>
    <mergeCell ref="C33:D33"/>
    <mergeCell ref="F33:G33"/>
    <mergeCell ref="N33:O33"/>
    <mergeCell ref="C34:D34"/>
    <mergeCell ref="F34:G34"/>
    <mergeCell ref="N34:O34"/>
    <mergeCell ref="C35:D35"/>
    <mergeCell ref="F35:G35"/>
    <mergeCell ref="N35:O35"/>
    <mergeCell ref="C36:D36"/>
    <mergeCell ref="F36:G36"/>
    <mergeCell ref="N36:O36"/>
    <mergeCell ref="C37:D37"/>
    <mergeCell ref="F37:G37"/>
    <mergeCell ref="N37:O37"/>
    <mergeCell ref="C38:D38"/>
    <mergeCell ref="F38:G38"/>
    <mergeCell ref="N38:O38"/>
    <mergeCell ref="C39:D39"/>
    <mergeCell ref="F39:G39"/>
    <mergeCell ref="N39:O39"/>
    <mergeCell ref="C40:D40"/>
    <mergeCell ref="F40:G40"/>
    <mergeCell ref="N40:O40"/>
    <mergeCell ref="C41:D41"/>
    <mergeCell ref="F41:G41"/>
    <mergeCell ref="N41:O41"/>
    <mergeCell ref="C42:D42"/>
    <mergeCell ref="F42:G42"/>
    <mergeCell ref="N42:O42"/>
    <mergeCell ref="C43:D43"/>
    <mergeCell ref="F43:G43"/>
    <mergeCell ref="N43:O43"/>
    <mergeCell ref="C44:D44"/>
    <mergeCell ref="F44:G44"/>
    <mergeCell ref="N44:O44"/>
    <mergeCell ref="C45:D45"/>
    <mergeCell ref="F45:G45"/>
    <mergeCell ref="N45:O45"/>
    <mergeCell ref="C46:D46"/>
    <mergeCell ref="F46:G46"/>
    <mergeCell ref="N46:O46"/>
    <mergeCell ref="C47:D47"/>
    <mergeCell ref="F47:G47"/>
    <mergeCell ref="N47:O47"/>
    <mergeCell ref="C48:D48"/>
    <mergeCell ref="F48:G48"/>
    <mergeCell ref="N48:O48"/>
    <mergeCell ref="D52:F52"/>
    <mergeCell ref="D55:G55"/>
    <mergeCell ref="C58:D58"/>
    <mergeCell ref="E58:H58"/>
    <mergeCell ref="D60:G60"/>
    <mergeCell ref="C62:D62"/>
    <mergeCell ref="D63:G63"/>
  </mergeCells>
  <dataValidations count="19">
    <dataValidation type="list" allowBlank="1" showInputMessage="1" prompt="לחץ לקבלת רשימת הערכים" showErrorMessage="1" errorStyle="stop" sqref="I13:I15">
      <formula1>$W$13:$W$16</formula1>
      <formula2>0</formula2>
    </dataValidation>
    <dataValidation type="list" allowBlank="1" showInputMessage="1" prompt="לחץ לקבלת רשימת הערכים" showErrorMessage="1" errorStyle="stop" sqref="I16:I19">
      <formula1>$W$15:$W$19</formula1>
      <formula2>0</formula2>
    </dataValidation>
    <dataValidation type="list" allowBlank="1" showInputMessage="1" prompt="לחץ לקבלת רשימת הערכים" showErrorMessage="1" errorStyle="stop" sqref="I20">
      <formula1>$W$13:$W$16</formula1>
      <formula2>0</formula2>
    </dataValidation>
    <dataValidation type="list" allowBlank="1" showInputMessage="1" prompt="לחץ לקבלת רשימת הערכים" showErrorMessage="1" errorStyle="stop" sqref="I21:I48">
      <formula1>$W$15:$W$19</formula1>
      <formula2>0</formula2>
    </dataValidation>
    <dataValidation type="list" allowBlank="1" showErrorMessage="1" errorStyle="stop" sqref="I5">
      <formula1>$AC$11:$AC$21</formula1>
      <formula2>0</formula2>
    </dataValidation>
    <dataValidation type="list" allowBlank="1" showInputMessage="1" prompt="לחץ לקבלת רשימת ערכים " showErrorMessage="1" errorStyle="stop" sqref="J13:J15">
      <formula1>$X$13:$X$15</formula1>
      <formula2>0</formula2>
    </dataValidation>
    <dataValidation type="list" allowBlank="1" showInputMessage="1" prompt="לחץ לקבלת רשימת ערכים " showErrorMessage="1" errorStyle="stop" sqref="J16:J18">
      <formula1>$X$15:$X$17</formula1>
      <formula2>0</formula2>
    </dataValidation>
    <dataValidation type="list" allowBlank="1" showInputMessage="1" prompt="לחץ לקבלת רשימת ערכים " showErrorMessage="1" errorStyle="stop" sqref="J19:J20">
      <formula1>$X$13:$X$15</formula1>
      <formula2>0</formula2>
    </dataValidation>
    <dataValidation type="list" allowBlank="1" showInputMessage="1" prompt="לחץ לקבלת רשימת ערכים " showErrorMessage="1" errorStyle="stop" sqref="J21:J23">
      <formula1>$X$15:$X$17</formula1>
      <formula2>0</formula2>
    </dataValidation>
    <dataValidation type="list" allowBlank="1" showInputMessage="1" prompt="לחץ לקבלת רשימת ערכים " showErrorMessage="1" errorStyle="stop" sqref="J24:J26">
      <formula1>$X$13:$X$15</formula1>
      <formula2>0</formula2>
    </dataValidation>
    <dataValidation type="list" allowBlank="1" showInputMessage="1" prompt="לחץ לקבלת רשימת ערכים " showErrorMessage="1" errorStyle="stop" sqref="J27">
      <formula1>$X$15:$X$17</formula1>
      <formula2>0</formula2>
    </dataValidation>
    <dataValidation type="list" allowBlank="1" showInputMessage="1" prompt="לחץ לקבלת רשימת ערכים " showErrorMessage="1" errorStyle="stop" sqref="J28">
      <formula1>$X$13:$X$15</formula1>
      <formula2>0</formula2>
    </dataValidation>
    <dataValidation type="list" allowBlank="1" showInputMessage="1" prompt="לחץ לקבלת רשימת ערכים " showErrorMessage="1" errorStyle="stop" sqref="J29:J34">
      <formula1>$X$15:$X$17</formula1>
      <formula2>0</formula2>
    </dataValidation>
    <dataValidation type="list" allowBlank="1" showInputMessage="1" prompt="לחץ לקבלת רשימת ערכים " showErrorMessage="1" errorStyle="stop" sqref="J35">
      <formula1>$X$13:$X$15</formula1>
      <formula2>0</formula2>
    </dataValidation>
    <dataValidation type="list" allowBlank="1" showInputMessage="1" prompt="לחץ לקבלת רשימת ערכים " showErrorMessage="1" errorStyle="stop" sqref="J36">
      <formula1>$X$15:$X$17</formula1>
      <formula2>0</formula2>
    </dataValidation>
    <dataValidation type="list" allowBlank="1" showInputMessage="1" prompt="לחץ לקבלת רשימת ערכים " showErrorMessage="1" errorStyle="stop" sqref="J37:J39">
      <formula1>$X$13:$X$15</formula1>
      <formula2>0</formula2>
    </dataValidation>
    <dataValidation type="list" allowBlank="1" showInputMessage="1" prompt="לחץ לקבלת רשימת ערכים " showErrorMessage="1" errorStyle="stop" sqref="J40">
      <formula1>$X$15:$X$17</formula1>
      <formula2>0</formula2>
    </dataValidation>
    <dataValidation type="list" allowBlank="1" showInputMessage="1" prompt="לחץ לקבלת רשימת ערכים " showErrorMessage="1" errorStyle="stop" sqref="J41">
      <formula1>$X$13:$X$15</formula1>
      <formula2>0</formula2>
    </dataValidation>
    <dataValidation type="list" allowBlank="1" showInputMessage="1" prompt="לחץ לקבלת רשימת ערכים " showErrorMessage="1" errorStyle="stop" sqref="J42:J48">
      <formula1>$X$15:$X$17</formula1>
      <formula2>0</formula2>
    </dataValidation>
  </dataValidations>
  <pageMargins left="0.708333333333333" right="0.708333333333333" top="0.748611111111111" bottom="0.748611111111111" header="0.315277777777778" footer="0.315277777777778"/>
  <pageSetup paperSize="9" orientation="portrait" horizontalDpi="300" verticalDpi="300" scale="100" fitToWidth="1" fitToHeight="0" firstPageNumber="1" useFirstPageNumber="1" copies="1"/>
  <headerFooter>
    <oddHeader>&amp;L&amp;D</oddHead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2.75" outlineLevelRow="0" outlineLevelCol="0" x14ac:dyDescent="0" defaultColWidth="9.0546875" customHeight="1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4"/>
  <sheetViews>
    <sheetView workbookViewId="0" zoomScale="90" zoomScaleNormal="100" view="pageBreakPreview">
      <selection activeCell="H44" sqref="H44"/>
    </sheetView>
  </sheetViews>
  <sheetFormatPr defaultRowHeight="12.75" outlineLevelRow="0" outlineLevelCol="0" x14ac:dyDescent="0" defaultColWidth="9.13671875" customHeight="1"/>
  <cols>
    <col min="1" max="1" width="2.7" style="65" customWidth="1"/>
    <col min="2" max="2" width="8.56" style="65" customWidth="1"/>
    <col min="3" max="3" width="9.7" style="65" customWidth="1"/>
    <col min="4" max="4" width="11.99" style="65" customWidth="1"/>
    <col min="5" max="5" width="9.7" style="65" customWidth="1"/>
    <col min="6" max="6" width="5.28" style="65" customWidth="1"/>
    <col min="7" max="7" width="10.56" style="65" customWidth="1"/>
    <col min="8" max="8" width="8.85" style="65" customWidth="1"/>
    <col min="9" max="9" width="10.99" style="65" customWidth="1"/>
    <col min="10" max="10" width="8.41" style="65" customWidth="1"/>
    <col min="11" max="11" width="9.85" style="65" hidden="1" customWidth="1"/>
    <col min="12" max="12" width="9.7" style="65" hidden="1" customWidth="1"/>
    <col min="13" max="13" width="5.85" style="65" customWidth="1"/>
    <col min="14" max="14" width="5.28" style="65" customWidth="1"/>
    <col min="15" max="15" width="7.28" style="65" customWidth="1"/>
    <col min="16" max="16" width="7.56" style="65" hidden="1" customWidth="1"/>
    <col min="17" max="17" width="7.56" style="65" customWidth="1"/>
    <col min="18" max="18" width="7.99" style="65" customWidth="1"/>
    <col min="19" max="19" width="7.56" style="65" customWidth="1"/>
    <col min="20" max="22" width="9.06" style="65" hidden="1" customWidth="1"/>
    <col min="23" max="23" width="10.28" style="65" hidden="1" customWidth="1"/>
    <col min="24" max="24" width="9.06" style="65" hidden="1" customWidth="1"/>
    <col min="25" max="25" width="13.85" style="65" customWidth="1"/>
    <col min="26" max="26" width="2.7" style="65" customWidth="1"/>
    <col min="27" max="28" width="9.14" style="65" customWidth="1"/>
    <col min="29" max="29" width="9.06" style="65" hidden="1" customWidth="1"/>
    <col min="30" max="257" width="9.14" style="65" customWidth="1"/>
  </cols>
  <sheetData>
    <row r="1" ht="18" customHeight="1" spans="1:257" x14ac:dyDescent="0.25">
      <c r="A1" s="66"/>
      <c r="B1" s="67" t="s">
        <v>35</v>
      </c>
      <c r="C1" s="68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</row>
    <row r="2" ht="13.5" customHeight="1" spans="1:257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  <c r="GT2" s="66"/>
      <c r="GU2" s="66"/>
      <c r="GV2" s="66"/>
      <c r="GW2" s="66"/>
      <c r="GX2" s="66"/>
      <c r="GY2" s="66"/>
      <c r="GZ2" s="66"/>
      <c r="HA2" s="66"/>
      <c r="HB2" s="66"/>
      <c r="HC2" s="66"/>
      <c r="HD2" s="66"/>
      <c r="HE2" s="66"/>
      <c r="HF2" s="66"/>
      <c r="HG2" s="66"/>
      <c r="HH2" s="66"/>
      <c r="HI2" s="66"/>
      <c r="HJ2" s="66"/>
      <c r="HK2" s="66"/>
      <c r="HL2" s="66"/>
      <c r="HM2" s="66"/>
      <c r="HN2" s="66"/>
      <c r="HO2" s="66"/>
      <c r="HP2" s="66"/>
      <c r="HQ2" s="66"/>
      <c r="HR2" s="66"/>
      <c r="HS2" s="66"/>
      <c r="HT2" s="66"/>
      <c r="HU2" s="66"/>
      <c r="HV2" s="66"/>
      <c r="HW2" s="66"/>
      <c r="HX2" s="66"/>
      <c r="HY2" s="66"/>
      <c r="HZ2" s="66"/>
      <c r="IA2" s="66"/>
      <c r="IB2" s="66"/>
      <c r="IC2" s="66"/>
      <c r="ID2" s="66"/>
      <c r="IE2" s="66"/>
      <c r="IF2" s="66"/>
      <c r="IG2" s="66"/>
      <c r="IH2" s="66"/>
      <c r="II2" s="66"/>
      <c r="IJ2" s="66"/>
      <c r="IK2" s="66"/>
      <c r="IL2" s="66"/>
      <c r="IM2" s="66"/>
      <c r="IN2" s="66"/>
      <c r="IO2" s="66"/>
      <c r="IP2" s="66"/>
      <c r="IQ2" s="66"/>
      <c r="IR2" s="66"/>
      <c r="IS2" s="66"/>
      <c r="IT2" s="66"/>
      <c r="IU2" s="66"/>
      <c r="IV2" s="66"/>
      <c r="IW2" s="66"/>
    </row>
    <row r="3" ht="14.25" customHeight="1" spans="1:257" x14ac:dyDescent="0.25">
      <c r="A3" s="66"/>
      <c r="B3" s="70" t="s">
        <v>1</v>
      </c>
      <c r="C3" s="70"/>
      <c r="D3" s="71">
        <v>13</v>
      </c>
      <c r="E3" s="71"/>
      <c r="F3" s="71"/>
      <c r="G3" s="72" t="s">
        <v>2</v>
      </c>
      <c r="H3" s="73" t="s">
        <v>3</v>
      </c>
      <c r="I3" s="73"/>
      <c r="J3" s="73"/>
      <c r="K3" s="73"/>
      <c r="L3" s="73"/>
      <c r="M3" s="73"/>
      <c r="N3" s="74"/>
      <c r="O3" s="74"/>
      <c r="P3" s="75"/>
      <c r="Q3" s="75"/>
      <c r="R3" s="76"/>
      <c r="S3" s="75"/>
      <c r="T3" s="77"/>
      <c r="U3" s="78"/>
      <c r="V3" s="79"/>
      <c r="W3" s="79"/>
      <c r="X3" s="79"/>
      <c r="Y3" s="80"/>
      <c r="Z3" s="81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/>
      <c r="FG3" s="66"/>
      <c r="FH3" s="66"/>
      <c r="FI3" s="66"/>
      <c r="FJ3" s="66"/>
      <c r="FK3" s="66"/>
      <c r="FL3" s="66"/>
      <c r="FM3" s="66"/>
      <c r="FN3" s="66"/>
      <c r="FO3" s="66"/>
      <c r="FP3" s="66"/>
      <c r="FQ3" s="66"/>
      <c r="FR3" s="66"/>
      <c r="FS3" s="66"/>
      <c r="FT3" s="6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6"/>
      <c r="GL3" s="66"/>
      <c r="GM3" s="66"/>
      <c r="GN3" s="66"/>
      <c r="GO3" s="66"/>
      <c r="GP3" s="66"/>
      <c r="GQ3" s="66"/>
      <c r="GR3" s="66"/>
      <c r="GS3" s="66"/>
      <c r="GT3" s="66"/>
      <c r="GU3" s="66"/>
      <c r="GV3" s="66"/>
      <c r="GW3" s="66"/>
      <c r="GX3" s="66"/>
      <c r="GY3" s="66"/>
      <c r="GZ3" s="66"/>
      <c r="HA3" s="66"/>
      <c r="HB3" s="66"/>
      <c r="HC3" s="66"/>
      <c r="HD3" s="66"/>
      <c r="HE3" s="66"/>
      <c r="HF3" s="66"/>
      <c r="HG3" s="66"/>
      <c r="HH3" s="66"/>
      <c r="HI3" s="66"/>
      <c r="HJ3" s="66"/>
      <c r="HK3" s="66"/>
      <c r="HL3" s="66"/>
      <c r="HM3" s="66"/>
      <c r="HN3" s="66"/>
      <c r="HO3" s="66"/>
      <c r="HP3" s="66"/>
      <c r="HQ3" s="66"/>
      <c r="HR3" s="66"/>
      <c r="HS3" s="66"/>
      <c r="HT3" s="66"/>
      <c r="HU3" s="66"/>
      <c r="HV3" s="66"/>
      <c r="HW3" s="66"/>
      <c r="HX3" s="66"/>
      <c r="HY3" s="66"/>
      <c r="HZ3" s="66"/>
      <c r="IA3" s="66"/>
      <c r="IB3" s="66"/>
      <c r="IC3" s="66"/>
      <c r="ID3" s="66"/>
      <c r="IE3" s="66"/>
      <c r="IF3" s="66"/>
      <c r="IG3" s="66"/>
      <c r="IH3" s="66"/>
      <c r="II3" s="66"/>
      <c r="IJ3" s="66"/>
      <c r="IK3" s="66"/>
      <c r="IL3" s="66"/>
      <c r="IM3" s="66"/>
      <c r="IN3" s="66"/>
      <c r="IO3" s="66"/>
      <c r="IP3" s="66"/>
      <c r="IQ3" s="66"/>
      <c r="IR3" s="66"/>
      <c r="IS3" s="66"/>
      <c r="IT3" s="66"/>
      <c r="IU3" s="66"/>
      <c r="IV3" s="66"/>
      <c r="IW3" s="66"/>
    </row>
    <row r="4" ht="14.25" customHeight="1" spans="1:257" x14ac:dyDescent="0.25">
      <c r="A4" s="66"/>
      <c r="B4" s="82" t="s">
        <v>4</v>
      </c>
      <c r="C4" s="82"/>
      <c r="D4" s="83" t="s">
        <v>5</v>
      </c>
      <c r="E4" s="83"/>
      <c r="F4" s="83"/>
      <c r="G4" s="84" t="s">
        <v>6</v>
      </c>
      <c r="H4" s="17" t="s">
        <v>7</v>
      </c>
      <c r="I4" s="17"/>
      <c r="J4" s="17"/>
      <c r="K4" s="17"/>
      <c r="L4" s="17"/>
      <c r="M4" s="17"/>
      <c r="N4" s="85" t="s">
        <v>8</v>
      </c>
      <c r="O4" s="85"/>
      <c r="P4" s="85"/>
      <c r="Q4" s="85"/>
      <c r="R4" s="86">
        <v>43148</v>
      </c>
      <c r="S4" s="86"/>
      <c r="T4" s="87"/>
      <c r="U4" s="87"/>
      <c r="V4" s="88"/>
      <c r="W4" s="88"/>
      <c r="X4" s="88"/>
      <c r="Y4" s="89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66"/>
      <c r="DZ4" s="66"/>
      <c r="EA4" s="66"/>
      <c r="EB4" s="66"/>
      <c r="EC4" s="66"/>
      <c r="ED4" s="66"/>
      <c r="EE4" s="66"/>
      <c r="EF4" s="66"/>
      <c r="EG4" s="66"/>
      <c r="EH4" s="66"/>
      <c r="EI4" s="66"/>
      <c r="EJ4" s="66"/>
      <c r="EK4" s="66"/>
      <c r="EL4" s="66"/>
      <c r="EM4" s="66"/>
      <c r="EN4" s="66"/>
      <c r="EO4" s="66"/>
      <c r="EP4" s="66"/>
      <c r="EQ4" s="66"/>
      <c r="ER4" s="66"/>
      <c r="ES4" s="66"/>
      <c r="ET4" s="66"/>
      <c r="EU4" s="66"/>
      <c r="EV4" s="66"/>
      <c r="EW4" s="66"/>
      <c r="EX4" s="66"/>
      <c r="EY4" s="66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  <c r="HE4" s="66"/>
      <c r="HF4" s="66"/>
      <c r="HG4" s="66"/>
      <c r="HH4" s="66"/>
      <c r="HI4" s="66"/>
      <c r="HJ4" s="66"/>
      <c r="HK4" s="66"/>
      <c r="HL4" s="66"/>
      <c r="HM4" s="66"/>
      <c r="HN4" s="66"/>
      <c r="HO4" s="66"/>
      <c r="HP4" s="66"/>
      <c r="HQ4" s="66"/>
      <c r="HR4" s="66"/>
      <c r="HS4" s="66"/>
      <c r="HT4" s="66"/>
      <c r="HU4" s="66"/>
      <c r="HV4" s="66"/>
      <c r="HW4" s="66"/>
      <c r="HX4" s="66"/>
      <c r="HY4" s="66"/>
      <c r="HZ4" s="66"/>
      <c r="IA4" s="66"/>
      <c r="IB4" s="66"/>
      <c r="IC4" s="66"/>
      <c r="ID4" s="66"/>
      <c r="IE4" s="66"/>
      <c r="IF4" s="66"/>
      <c r="IG4" s="66"/>
      <c r="IH4" s="66"/>
      <c r="II4" s="66"/>
      <c r="IJ4" s="66"/>
      <c r="IK4" s="66"/>
      <c r="IL4" s="66"/>
      <c r="IM4" s="66"/>
      <c r="IN4" s="66"/>
      <c r="IO4" s="66"/>
      <c r="IP4" s="66"/>
      <c r="IQ4" s="66"/>
      <c r="IR4" s="66"/>
      <c r="IS4" s="66"/>
      <c r="IT4" s="66"/>
      <c r="IU4" s="66"/>
      <c r="IV4" s="66"/>
      <c r="IW4" s="66"/>
    </row>
    <row r="5" ht="14.25" customHeight="1" spans="1:257" x14ac:dyDescent="0.25">
      <c r="A5" s="66"/>
      <c r="B5" s="90" t="s">
        <v>9</v>
      </c>
      <c r="C5" s="90"/>
      <c r="D5" s="90"/>
      <c r="E5" s="90"/>
      <c r="F5" s="90"/>
      <c r="G5" s="90"/>
      <c r="H5" s="90"/>
      <c r="I5" s="91">
        <v>3</v>
      </c>
      <c r="J5" s="92" t="s">
        <v>10</v>
      </c>
      <c r="K5" s="92"/>
      <c r="L5" s="92"/>
      <c r="M5" s="93" t="s">
        <v>36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6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6"/>
      <c r="FM5" s="66"/>
      <c r="FN5" s="66"/>
      <c r="FO5" s="66"/>
      <c r="FP5" s="66"/>
      <c r="FQ5" s="66"/>
      <c r="FR5" s="66"/>
      <c r="FS5" s="66"/>
      <c r="FT5" s="66"/>
      <c r="FU5" s="66"/>
      <c r="FV5" s="66"/>
      <c r="FW5" s="66"/>
      <c r="FX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  <c r="HE5" s="66"/>
      <c r="HF5" s="66"/>
      <c r="HG5" s="66"/>
      <c r="HH5" s="66"/>
      <c r="HI5" s="66"/>
      <c r="HJ5" s="66"/>
      <c r="HK5" s="66"/>
      <c r="HL5" s="66"/>
      <c r="HM5" s="66"/>
      <c r="HN5" s="66"/>
      <c r="HO5" s="66"/>
      <c r="HP5" s="66"/>
      <c r="HQ5" s="66"/>
      <c r="HR5" s="66"/>
      <c r="HS5" s="66"/>
      <c r="HT5" s="66"/>
      <c r="HU5" s="66"/>
      <c r="HV5" s="66"/>
      <c r="HW5" s="66"/>
      <c r="HX5" s="66"/>
      <c r="HY5" s="66"/>
      <c r="HZ5" s="66"/>
      <c r="IA5" s="66"/>
      <c r="IB5" s="66"/>
      <c r="IC5" s="66"/>
      <c r="ID5" s="66"/>
      <c r="IE5" s="66"/>
      <c r="IF5" s="66"/>
      <c r="IG5" s="66"/>
      <c r="IH5" s="66"/>
      <c r="II5" s="66"/>
      <c r="IJ5" s="66"/>
      <c r="IK5" s="66"/>
      <c r="IL5" s="66"/>
      <c r="IM5" s="66"/>
      <c r="IN5" s="66"/>
      <c r="IO5" s="66"/>
      <c r="IP5" s="66"/>
      <c r="IQ5" s="66"/>
      <c r="IR5" s="66"/>
      <c r="IS5" s="66"/>
      <c r="IT5" s="66"/>
      <c r="IU5" s="66"/>
      <c r="IV5" s="66"/>
      <c r="IW5" s="66"/>
    </row>
    <row r="6" ht="13.5" customHeight="1" hidden="1" spans="1:257" x14ac:dyDescent="0.25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</row>
    <row r="7" ht="14.25" customHeight="1" hidden="1" spans="2:25" x14ac:dyDescent="0.25">
      <c r="B7" s="94" t="s">
        <v>12</v>
      </c>
      <c r="C7" s="94"/>
      <c r="D7" s="94"/>
      <c r="E7" s="95">
        <v>1</v>
      </c>
      <c r="F7" s="95"/>
      <c r="G7" s="96" t="s">
        <v>13</v>
      </c>
      <c r="H7" s="95">
        <f>I5</f>
        <v>3</v>
      </c>
      <c r="I7" s="97" t="s">
        <v>14</v>
      </c>
      <c r="J7" s="95"/>
      <c r="K7" s="98"/>
      <c r="L7" s="98"/>
      <c r="M7" s="99" t="s">
        <v>15</v>
      </c>
      <c r="N7" s="99"/>
      <c r="O7" s="95"/>
      <c r="P7" s="95"/>
      <c r="Q7" s="100"/>
      <c r="R7" s="99" t="s">
        <v>16</v>
      </c>
      <c r="S7" s="99"/>
      <c r="T7" s="98"/>
      <c r="U7" s="98"/>
      <c r="V7" s="98"/>
      <c r="W7" s="98"/>
      <c r="X7" s="98"/>
      <c r="Y7" s="101">
        <f>O7*J7</f>
        <v>0</v>
      </c>
    </row>
    <row r="8" ht="14.25" customHeight="1" spans="1:25" x14ac:dyDescent="0.25">
      <c r="A8" s="65"/>
      <c r="B8" s="102"/>
      <c r="C8" s="103"/>
      <c r="D8" s="104"/>
      <c r="E8" s="105"/>
      <c r="F8" s="105"/>
      <c r="G8" s="106"/>
      <c r="H8" s="105"/>
      <c r="I8" s="107"/>
      <c r="J8" s="105"/>
      <c r="K8" s="65"/>
      <c r="L8" s="65"/>
      <c r="M8" s="65"/>
      <c r="N8" s="65"/>
      <c r="O8" s="105"/>
      <c r="P8" s="105"/>
      <c r="Q8" s="105"/>
      <c r="R8" s="65"/>
      <c r="S8" s="65"/>
      <c r="T8" s="65"/>
      <c r="U8" s="65"/>
      <c r="V8" s="65"/>
      <c r="W8" s="65"/>
      <c r="X8" s="65"/>
      <c r="Y8" s="105"/>
    </row>
    <row r="9" ht="16.5" customHeight="1" spans="2:25" x14ac:dyDescent="0.25">
      <c r="B9" s="108" t="s">
        <v>37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</row>
    <row r="10" ht="13.5" customHeight="1" spans="8:8" x14ac:dyDescent="0.25">
      <c r="H10" s="109"/>
    </row>
    <row r="11" ht="38.25" customHeight="1" spans="2:29" x14ac:dyDescent="0.25">
      <c r="B11" s="110" t="s">
        <v>38</v>
      </c>
      <c r="C11" s="111" t="s">
        <v>39</v>
      </c>
      <c r="D11" s="111"/>
      <c r="E11" s="112" t="s">
        <v>40</v>
      </c>
      <c r="F11" s="112" t="s">
        <v>41</v>
      </c>
      <c r="G11" s="112"/>
      <c r="H11" s="113" t="s">
        <v>42</v>
      </c>
      <c r="I11" s="111" t="s">
        <v>43</v>
      </c>
      <c r="J11" s="111" t="s">
        <v>44</v>
      </c>
      <c r="K11" s="114" t="s">
        <v>45</v>
      </c>
      <c r="L11" s="114" t="s">
        <v>46</v>
      </c>
      <c r="M11" s="111" t="s">
        <v>47</v>
      </c>
      <c r="N11" s="115" t="s">
        <v>48</v>
      </c>
      <c r="O11" s="115"/>
      <c r="P11" s="114" t="s">
        <v>49</v>
      </c>
      <c r="Q11" s="111" t="s">
        <v>50</v>
      </c>
      <c r="R11" s="111" t="s">
        <v>51</v>
      </c>
      <c r="S11" s="111" t="s">
        <v>52</v>
      </c>
      <c r="T11" s="116"/>
      <c r="U11" s="117"/>
      <c r="V11" s="117"/>
      <c r="W11" s="117"/>
      <c r="X11" s="117"/>
      <c r="Y11" s="118" t="s">
        <v>53</v>
      </c>
      <c r="AC11" s="119">
        <v>1</v>
      </c>
    </row>
    <row r="12" ht="41.25" customHeight="1" spans="2:29" x14ac:dyDescent="0.25">
      <c r="B12" s="120"/>
      <c r="C12" s="121"/>
      <c r="D12" s="121"/>
      <c r="E12" s="122"/>
      <c r="F12" s="123" t="s">
        <v>54</v>
      </c>
      <c r="G12" s="123"/>
      <c r="H12" s="124" t="s">
        <v>55</v>
      </c>
      <c r="I12" s="122" t="s">
        <v>56</v>
      </c>
      <c r="J12" s="122" t="s">
        <v>57</v>
      </c>
      <c r="K12" s="122" t="s">
        <v>58</v>
      </c>
      <c r="L12" s="122" t="s">
        <v>59</v>
      </c>
      <c r="M12" s="125" t="s">
        <v>60</v>
      </c>
      <c r="N12" s="126" t="s">
        <v>61</v>
      </c>
      <c r="O12" s="126"/>
      <c r="P12" s="122" t="s">
        <v>62</v>
      </c>
      <c r="Q12" s="122" t="s">
        <v>63</v>
      </c>
      <c r="R12" s="122" t="s">
        <v>64</v>
      </c>
      <c r="S12" s="122" t="s">
        <v>65</v>
      </c>
      <c r="T12" s="122" t="s">
        <v>66</v>
      </c>
      <c r="U12" s="122" t="s">
        <v>67</v>
      </c>
      <c r="V12" s="127" t="s">
        <v>68</v>
      </c>
      <c r="W12" s="122" t="s">
        <v>69</v>
      </c>
      <c r="X12" s="128" t="s">
        <v>70</v>
      </c>
      <c r="Y12" s="129"/>
      <c r="AC12" s="119">
        <v>2</v>
      </c>
    </row>
    <row r="13" ht="27" customHeight="1" spans="2:29" x14ac:dyDescent="0.25">
      <c r="B13" s="130">
        <v>1016</v>
      </c>
      <c r="C13" s="131" t="s">
        <v>71</v>
      </c>
      <c r="D13" s="131"/>
      <c r="E13" s="132" t="s">
        <v>72</v>
      </c>
      <c r="F13" s="133" t="s">
        <v>73</v>
      </c>
      <c r="G13" s="133"/>
      <c r="H13" s="134"/>
      <c r="I13" s="135"/>
      <c r="J13" s="136"/>
      <c r="K13" s="137">
        <f>IF(J13="E",0.7,IF(J13="D",0.3,IF(J13="C",0.1,0)))</f>
        <v>0</v>
      </c>
      <c r="L13" s="137">
        <f>IF(I13="רכיב לא קיים",0,I13)</f>
        <v>0</v>
      </c>
      <c r="M13" s="138">
        <f>IF(L13=5,5,K13+L13)</f>
        <v>0</v>
      </c>
      <c r="N13" s="136"/>
      <c r="O13" s="136"/>
      <c r="P13" s="137">
        <f>IF(S13=2,0,IF(S13=1.5,0.3-((M13-1)*0.3/4),IF(S13=1.2,0.6-((M13-1)*0.6/4),1.2-((M13-1)*1.2/4))))</f>
        <v>0</v>
      </c>
      <c r="Q13" s="132">
        <f>IF(M13&gt;0,P13,0)</f>
        <v>0</v>
      </c>
      <c r="R13" s="132">
        <f>IF(M13=0,0,IF(M13-Q13&gt;=1,M13-Q13,1))</f>
        <v>0</v>
      </c>
      <c r="S13" s="132">
        <v>2</v>
      </c>
      <c r="T13" s="139">
        <f>IF(M13&gt;0,S13,0)</f>
        <v>0</v>
      </c>
      <c r="U13" s="139">
        <f>IF(M13&gt;0,S13*R13,0)</f>
        <v>0</v>
      </c>
      <c r="V13" s="140">
        <f>IF(S13=2,R13,0)</f>
        <v>0</v>
      </c>
      <c r="W13" s="137" t="s">
        <v>76</v>
      </c>
      <c r="X13" s="140" t="s">
        <v>77</v>
      </c>
      <c r="Y13" s="141"/>
      <c r="AC13" s="119">
        <v>3</v>
      </c>
    </row>
    <row r="14" ht="27" customHeight="1" spans="2:29" x14ac:dyDescent="0.25">
      <c r="B14" s="142">
        <v>1002</v>
      </c>
      <c r="C14" s="143" t="s">
        <v>78</v>
      </c>
      <c r="D14" s="143"/>
      <c r="E14" s="138" t="s">
        <v>72</v>
      </c>
      <c r="F14" s="144"/>
      <c r="G14" s="144"/>
      <c r="H14" s="145" t="s">
        <v>74</v>
      </c>
      <c r="I14" s="146">
        <v>2</v>
      </c>
      <c r="J14" s="144" t="s">
        <v>75</v>
      </c>
      <c r="K14" s="147">
        <f>IF(J14="E",0.7,IF(J14="D",0.3,IF(J14="C",0.1,0)))</f>
        <v>0</v>
      </c>
      <c r="L14" s="147">
        <f>IF(I14="רכיב לא קיים",0,I14)</f>
        <v>2</v>
      </c>
      <c r="M14" s="138">
        <f>IF(L14=5,5,K14+L14)</f>
        <v>2</v>
      </c>
      <c r="N14" s="144"/>
      <c r="O14" s="144"/>
      <c r="P14" s="137">
        <f>IF(S14=2,0,IF(S14=1.5,0.3-((M14-1)*0.3/4),IF(S14=1.2,0.6-((M14-1)*0.6/4),1.2-((M14-1)*1.2/4))))</f>
        <v>0</v>
      </c>
      <c r="Q14" s="132">
        <f>IF(M14&gt;0,P14,0)</f>
        <v>0</v>
      </c>
      <c r="R14" s="132">
        <f>IF(M14=0,0,IF(M14-Q14&gt;=1,M14-Q14,1))</f>
        <v>2</v>
      </c>
      <c r="S14" s="138">
        <v>2</v>
      </c>
      <c r="T14" s="139">
        <f>IF(M14&gt;0,S14,0)</f>
        <v>2</v>
      </c>
      <c r="U14" s="139">
        <f>IF(M14&gt;0,S14*R14,0)</f>
        <v>4</v>
      </c>
      <c r="V14" s="140">
        <f>IF(S14=2,R14,0)</f>
        <v>2</v>
      </c>
      <c r="W14" s="147">
        <v>1</v>
      </c>
      <c r="X14" s="148" t="s">
        <v>75</v>
      </c>
      <c r="Y14" s="149"/>
      <c r="AC14" s="119">
        <v>4</v>
      </c>
    </row>
    <row r="15" ht="27" customHeight="1" spans="2:29" x14ac:dyDescent="0.25">
      <c r="B15" s="142">
        <v>1011</v>
      </c>
      <c r="C15" s="143" t="s">
        <v>79</v>
      </c>
      <c r="D15" s="143"/>
      <c r="E15" s="138" t="s">
        <v>72</v>
      </c>
      <c r="F15" s="144"/>
      <c r="G15" s="144"/>
      <c r="H15" s="145" t="s">
        <v>143</v>
      </c>
      <c r="I15" s="135">
        <v>2</v>
      </c>
      <c r="J15" s="136" t="s">
        <v>75</v>
      </c>
      <c r="K15" s="147">
        <f>IF(J15="E",0.7,IF(J15="D",0.3,IF(J15="C",0.1,0)))</f>
        <v>0</v>
      </c>
      <c r="L15" s="147">
        <f>IF(I15="רכיב לא קיים",0,I15)</f>
        <v>2</v>
      </c>
      <c r="M15" s="138">
        <f>IF(L15=5,5,K15+L15)</f>
        <v>2</v>
      </c>
      <c r="N15" s="144"/>
      <c r="O15" s="144"/>
      <c r="P15" s="137">
        <f>IF(S15=2,0,IF(S15=1.5,0.3-((M15-1)*0.3/4),IF(S15=1.2,0.6-((M15-1)*0.6/4),1.2-((M15-1)*1.2/4))))</f>
        <v>0</v>
      </c>
      <c r="Q15" s="132">
        <f>IF(M15&gt;0,P15,0)</f>
        <v>0</v>
      </c>
      <c r="R15" s="132">
        <f>IF(M15=0,0,IF(M15-Q15&gt;=1,M15-Q15,1))</f>
        <v>2</v>
      </c>
      <c r="S15" s="138">
        <v>2</v>
      </c>
      <c r="T15" s="139">
        <f>IF(M15&gt;0,S15,0)</f>
        <v>2</v>
      </c>
      <c r="U15" s="139">
        <f>IF(M15&gt;0,S15*R15,0)</f>
        <v>4</v>
      </c>
      <c r="V15" s="140">
        <f>IF(S15=2,R15,0)</f>
        <v>2</v>
      </c>
      <c r="W15" s="147">
        <v>2</v>
      </c>
      <c r="X15" s="148" t="s">
        <v>81</v>
      </c>
      <c r="Y15" s="149"/>
      <c r="AC15" s="119">
        <v>5</v>
      </c>
    </row>
    <row r="16" ht="27" customHeight="1" spans="2:29" x14ac:dyDescent="0.25">
      <c r="B16" s="142">
        <v>1004</v>
      </c>
      <c r="C16" s="150" t="s">
        <v>82</v>
      </c>
      <c r="D16" s="150"/>
      <c r="E16" s="138" t="s">
        <v>72</v>
      </c>
      <c r="F16" s="144"/>
      <c r="G16" s="144"/>
      <c r="H16" s="151"/>
      <c r="I16" s="146"/>
      <c r="J16" s="144"/>
      <c r="K16" s="147">
        <f>IF(J16="E",0.7,IF(J16="D",0.3,IF(J16="C",0.1,0)))</f>
        <v>0</v>
      </c>
      <c r="L16" s="147">
        <f>IF(I16="רכיב לא קיים",0,I16)</f>
        <v>0</v>
      </c>
      <c r="M16" s="138">
        <f>IF(L16=5,5,K16+L16)</f>
        <v>0</v>
      </c>
      <c r="N16" s="144"/>
      <c r="O16" s="144"/>
      <c r="P16" s="137">
        <f>IF(S16=2,0,IF(S16=1.5,0.3-((M16-1)*0.3/4),IF(S16=1.2,0.6-((M16-1)*0.6/4),1.2-((M16-1)*1.2/4))))</f>
        <v>0</v>
      </c>
      <c r="Q16" s="132">
        <f>IF(M16&gt;0,P16,0)</f>
        <v>0</v>
      </c>
      <c r="R16" s="132">
        <f>IF(M16=0,0,IF(M16-Q16&gt;=1,M16-Q16,1))</f>
        <v>0</v>
      </c>
      <c r="S16" s="138">
        <v>2</v>
      </c>
      <c r="T16" s="139">
        <f>IF(M16&gt;0,S16,0)</f>
        <v>0</v>
      </c>
      <c r="U16" s="139">
        <f>IF(M16&gt;0,S16*R16,0)</f>
        <v>0</v>
      </c>
      <c r="V16" s="140">
        <f>IF(S16=2,R16,0)</f>
        <v>0</v>
      </c>
      <c r="W16" s="147">
        <v>3</v>
      </c>
      <c r="X16" s="148" t="s">
        <v>83</v>
      </c>
      <c r="Y16" s="149" t="s">
        <v>84</v>
      </c>
      <c r="AC16" s="119">
        <v>6</v>
      </c>
    </row>
    <row r="17" ht="27" customHeight="1" spans="2:29" x14ac:dyDescent="0.25">
      <c r="B17" s="142">
        <v>1005</v>
      </c>
      <c r="C17" s="143" t="s">
        <v>85</v>
      </c>
      <c r="D17" s="143"/>
      <c r="E17" s="138" t="s">
        <v>72</v>
      </c>
      <c r="F17" s="144"/>
      <c r="G17" s="144"/>
      <c r="H17" s="151"/>
      <c r="I17" s="146"/>
      <c r="J17" s="144"/>
      <c r="K17" s="147">
        <f>IF(J17="E",0.7,IF(J17="D",0.3,IF(J17="C",0.1,0)))</f>
        <v>0</v>
      </c>
      <c r="L17" s="147">
        <f>IF(I17="רכיב לא קיים",0,I17)</f>
        <v>0</v>
      </c>
      <c r="M17" s="138">
        <f>IF(L17=5,5,K17+L17)</f>
        <v>0</v>
      </c>
      <c r="N17" s="144"/>
      <c r="O17" s="144"/>
      <c r="P17" s="137">
        <f>IF(S17=2,0,IF(S17=1.5,0.3-((M17-1)*0.3/4),IF(S17=1.2,0.6-((M17-1)*0.6/4),1.2-((M17-1)*1.2/4))))</f>
        <v>0</v>
      </c>
      <c r="Q17" s="132">
        <f>IF(M17&gt;0,P17,0)</f>
        <v>0</v>
      </c>
      <c r="R17" s="132">
        <f>IF(M17=0,0,IF(M17-Q17&gt;=1,M17-Q17,1))</f>
        <v>0</v>
      </c>
      <c r="S17" s="138">
        <v>2</v>
      </c>
      <c r="T17" s="139">
        <f>IF(M17&gt;0,S17,0)</f>
        <v>0</v>
      </c>
      <c r="U17" s="139">
        <f>IF(M17&gt;0,S17*R17,0)</f>
        <v>0</v>
      </c>
      <c r="V17" s="140">
        <f>IF(S17=2,R17,0)</f>
        <v>0</v>
      </c>
      <c r="W17" s="147">
        <v>4</v>
      </c>
      <c r="X17" s="148" t="s">
        <v>86</v>
      </c>
      <c r="Y17" s="149" t="s">
        <v>84</v>
      </c>
      <c r="AC17" s="119">
        <v>7</v>
      </c>
    </row>
    <row r="18" ht="27" customHeight="1" spans="2:29" x14ac:dyDescent="0.25">
      <c r="B18" s="142">
        <v>1007</v>
      </c>
      <c r="C18" s="143" t="s">
        <v>87</v>
      </c>
      <c r="D18" s="143"/>
      <c r="E18" s="138" t="s">
        <v>72</v>
      </c>
      <c r="F18" s="144"/>
      <c r="G18" s="144"/>
      <c r="H18" s="151"/>
      <c r="I18" s="146"/>
      <c r="J18" s="144"/>
      <c r="K18" s="147">
        <f>IF(J18="E",0.7,IF(J18="D",0.3,IF(J18="C",0.1,0)))</f>
        <v>0</v>
      </c>
      <c r="L18" s="147">
        <f>IF(I18="רכיב לא קיים",0,I18)</f>
        <v>0</v>
      </c>
      <c r="M18" s="138">
        <f>IF(L18=5,5,K18+L18)</f>
        <v>0</v>
      </c>
      <c r="N18" s="144"/>
      <c r="O18" s="144"/>
      <c r="P18" s="137">
        <f>IF(S18=2,0,IF(S18=1.5,0.3-((M18-1)*0.3/4),IF(S18=1.2,0.6-((M18-1)*0.6/4),1.2-((M18-1)*1.2/4))))</f>
        <v>0</v>
      </c>
      <c r="Q18" s="132">
        <f>IF(M18&gt;0,P18,0)</f>
        <v>0</v>
      </c>
      <c r="R18" s="132">
        <f>IF(M18=0,0,IF(M18-Q18&gt;=1,M18-Q18,1))</f>
        <v>0</v>
      </c>
      <c r="S18" s="138">
        <v>2</v>
      </c>
      <c r="T18" s="139">
        <f>IF(M18&gt;0,S18,0)</f>
        <v>0</v>
      </c>
      <c r="U18" s="139">
        <f>IF(M18&gt;0,S18*R18,0)</f>
        <v>0</v>
      </c>
      <c r="V18" s="140">
        <f>IF(S18=2,R18,0)</f>
        <v>0</v>
      </c>
      <c r="W18" s="147">
        <v>4</v>
      </c>
      <c r="X18" s="148" t="s">
        <v>86</v>
      </c>
      <c r="Y18" s="149" t="s">
        <v>84</v>
      </c>
      <c r="AC18" s="119">
        <v>7</v>
      </c>
    </row>
    <row r="19" ht="27" customHeight="1" spans="2:29" x14ac:dyDescent="0.25">
      <c r="B19" s="142">
        <v>1006</v>
      </c>
      <c r="C19" s="150" t="s">
        <v>88</v>
      </c>
      <c r="D19" s="150"/>
      <c r="E19" s="138" t="s">
        <v>72</v>
      </c>
      <c r="F19" s="144"/>
      <c r="G19" s="144"/>
      <c r="H19" s="145"/>
      <c r="I19" s="146"/>
      <c r="J19" s="144"/>
      <c r="K19" s="147">
        <f>IF(J19="E",0.7,IF(J19="D",0.3,IF(J19="C",0.1,0)))</f>
        <v>0</v>
      </c>
      <c r="L19" s="147">
        <f>IF(I19="רכיב לא קיים",0,I19)</f>
        <v>0</v>
      </c>
      <c r="M19" s="212">
        <f>IF(L19=5,5,K19+L19)</f>
        <v>0</v>
      </c>
      <c r="N19" s="144"/>
      <c r="O19" s="144"/>
      <c r="P19" s="137">
        <f>IF(S19=2,0,IF(S19=1.5,0.3-((M19-1)*0.3/4),IF(S19=1.2,0.6-((M19-1)*0.6/4),1.2-((M19-1)*1.2/4))))</f>
        <v>0</v>
      </c>
      <c r="Q19" s="132">
        <f>IF(M19&gt;0,P19,0)</f>
        <v>0</v>
      </c>
      <c r="R19" s="132">
        <f>IF(M19=0,0,IF(M19-Q19&gt;=1,M19-Q19,1))</f>
        <v>0</v>
      </c>
      <c r="S19" s="138">
        <v>2</v>
      </c>
      <c r="T19" s="139">
        <f>IF(M19&gt;0,S19,0)</f>
        <v>0</v>
      </c>
      <c r="U19" s="139">
        <f>IF(M19&gt;0,S19*R19,0)</f>
        <v>0</v>
      </c>
      <c r="V19" s="140">
        <f>IF(S19=2,R19,0)</f>
        <v>0</v>
      </c>
      <c r="W19" s="147">
        <v>5</v>
      </c>
      <c r="X19" s="148"/>
      <c r="Y19" s="149"/>
      <c r="AC19" s="119">
        <v>8</v>
      </c>
    </row>
    <row r="20" ht="27" customHeight="1" spans="2:29" x14ac:dyDescent="0.25">
      <c r="B20" s="142">
        <v>6008</v>
      </c>
      <c r="C20" s="150" t="s">
        <v>89</v>
      </c>
      <c r="D20" s="150"/>
      <c r="E20" s="138" t="s">
        <v>90</v>
      </c>
      <c r="F20" s="144"/>
      <c r="G20" s="144"/>
      <c r="H20" s="145"/>
      <c r="I20" s="146"/>
      <c r="J20" s="144"/>
      <c r="K20" s="147">
        <f>IF(J20="E",0.7,IF(J20="D",0.3,IF(J20="C",0.1,0)))</f>
        <v>0</v>
      </c>
      <c r="L20" s="147">
        <f>IF(I20="רכיב לא קיים",0,I20)</f>
        <v>0</v>
      </c>
      <c r="M20" s="138">
        <f>IF(L20=5,5,K20+L20)</f>
        <v>0</v>
      </c>
      <c r="N20" s="144"/>
      <c r="O20" s="144"/>
      <c r="P20" s="137">
        <f>IF(S20=2,0,IF(S20=1.5,0.3-((M20-1)*0.3/4),IF(S20=1.2,0.6-((M20-1)*0.6/4),1.2-((M20-1)*1.2/4))))</f>
        <v>0.375</v>
      </c>
      <c r="Q20" s="132">
        <f>IF(M20&gt;0,P20,0)</f>
        <v>0</v>
      </c>
      <c r="R20" s="132">
        <f>IF(M20=0,0,IF(M20-Q20&gt;=1,M20-Q20,1))</f>
        <v>0</v>
      </c>
      <c r="S20" s="138">
        <v>1.5</v>
      </c>
      <c r="T20" s="139">
        <f>IF(M20&gt;0,S20,0)</f>
        <v>0</v>
      </c>
      <c r="U20" s="139">
        <f>IF(M20&gt;0,S20*R20,0)</f>
        <v>0</v>
      </c>
      <c r="V20" s="140">
        <f>IF(S20=2,R20,0)</f>
        <v>0</v>
      </c>
      <c r="W20" s="65"/>
      <c r="X20" s="65"/>
      <c r="Y20" s="149"/>
      <c r="AC20" s="119">
        <v>9</v>
      </c>
    </row>
    <row r="21" ht="27" customHeight="1" spans="2:29" x14ac:dyDescent="0.25">
      <c r="B21" s="142">
        <v>2001</v>
      </c>
      <c r="C21" s="143" t="s">
        <v>91</v>
      </c>
      <c r="D21" s="143"/>
      <c r="E21" s="138" t="s">
        <v>90</v>
      </c>
      <c r="F21" s="144"/>
      <c r="G21" s="144"/>
      <c r="H21" s="151"/>
      <c r="I21" s="146"/>
      <c r="J21" s="144"/>
      <c r="K21" s="147">
        <f>IF(J21="E",0.7,IF(J21="D",0.3,IF(J21="C",0.1,0)))</f>
        <v>0</v>
      </c>
      <c r="L21" s="147">
        <f>IF(I21="רכיב לא קיים",0,I21)</f>
        <v>0</v>
      </c>
      <c r="M21" s="138">
        <f>IF(L21=5,5,K21+L21)</f>
        <v>0</v>
      </c>
      <c r="N21" s="144"/>
      <c r="O21" s="144"/>
      <c r="P21" s="137">
        <f>IF(S21=2,0,IF(S21=1.5,0.3-((M21-1)*0.3/4),IF(S21=1.2,0.6-((M21-1)*0.6/4),1.2-((M21-1)*1.2/4))))</f>
        <v>0.375</v>
      </c>
      <c r="Q21" s="132">
        <f>IF(M21&gt;0,P21,0)</f>
        <v>0</v>
      </c>
      <c r="R21" s="132">
        <f>IF(M21=0,0,IF(M21-Q21&gt;=1,M21-Q21,1))</f>
        <v>0</v>
      </c>
      <c r="S21" s="138">
        <v>1.5</v>
      </c>
      <c r="T21" s="139">
        <f>IF(M21&gt;0,S21,0)</f>
        <v>0</v>
      </c>
      <c r="U21" s="139">
        <f>IF(M21&gt;0,S21*R21,0)</f>
        <v>0</v>
      </c>
      <c r="V21" s="140">
        <f>IF(S21=2,R21,0)</f>
        <v>0</v>
      </c>
      <c r="W21" s="65"/>
      <c r="X21" s="65"/>
      <c r="Y21" s="152" t="s">
        <v>92</v>
      </c>
      <c r="AC21" s="119">
        <v>10</v>
      </c>
    </row>
    <row r="22" ht="27" customHeight="1" spans="2:25" x14ac:dyDescent="0.25">
      <c r="B22" s="142">
        <v>2002</v>
      </c>
      <c r="C22" s="143" t="s">
        <v>93</v>
      </c>
      <c r="D22" s="143"/>
      <c r="E22" s="138" t="s">
        <v>90</v>
      </c>
      <c r="F22" s="144"/>
      <c r="G22" s="144"/>
      <c r="H22" s="145"/>
      <c r="I22" s="146"/>
      <c r="J22" s="144"/>
      <c r="K22" s="147">
        <f>IF(J22="E",0.7,IF(J22="D",0.3,IF(J22="C",0.1,0)))</f>
        <v>0</v>
      </c>
      <c r="L22" s="147">
        <f>IF(I22="רכיב לא קיים",0,I22)</f>
        <v>0</v>
      </c>
      <c r="M22" s="138">
        <f>IF(L22=5,5,K22+L22)</f>
        <v>0</v>
      </c>
      <c r="N22" s="144"/>
      <c r="O22" s="144"/>
      <c r="P22" s="137">
        <f>IF(S22=2,0,IF(S22=1.5,0.3-((M22-1)*0.3/4),IF(S22=1.2,0.6-((M22-1)*0.6/4),1.2-((M22-1)*1.2/4))))</f>
        <v>0.375</v>
      </c>
      <c r="Q22" s="132">
        <f>IF(M22&gt;0,P22,0)</f>
        <v>0</v>
      </c>
      <c r="R22" s="132">
        <f>IF(M22=0,0,IF(M22-Q22&gt;=1,M22-Q22,1))</f>
        <v>0</v>
      </c>
      <c r="S22" s="138">
        <v>1.5</v>
      </c>
      <c r="T22" s="139">
        <f>IF(M22&gt;0,S22,0)</f>
        <v>0</v>
      </c>
      <c r="U22" s="139">
        <f>IF(M22&gt;0,S22*R22,0)</f>
        <v>0</v>
      </c>
      <c r="V22" s="140">
        <f>IF(S22=2,R22,0)</f>
        <v>0</v>
      </c>
      <c r="W22" s="65"/>
      <c r="X22" s="65"/>
      <c r="Y22" s="149" t="s">
        <v>84</v>
      </c>
    </row>
    <row r="23" ht="27" customHeight="1" spans="2:25" x14ac:dyDescent="0.25">
      <c r="B23" s="142">
        <v>2003</v>
      </c>
      <c r="C23" s="150" t="s">
        <v>95</v>
      </c>
      <c r="D23" s="150"/>
      <c r="E23" s="138" t="s">
        <v>90</v>
      </c>
      <c r="F23" s="144"/>
      <c r="G23" s="144"/>
      <c r="H23" s="151"/>
      <c r="I23" s="146"/>
      <c r="J23" s="144"/>
      <c r="K23" s="147">
        <f>IF(J23="E",0.7,IF(J23="D",0.3,IF(J23="C",0.1,0)))</f>
        <v>0</v>
      </c>
      <c r="L23" s="147">
        <f>IF(I23="רכיב לא קיים",0,I23)</f>
        <v>0</v>
      </c>
      <c r="M23" s="138">
        <f>IF(L23=5,5,K23+L23)</f>
        <v>0</v>
      </c>
      <c r="N23" s="144"/>
      <c r="O23" s="144"/>
      <c r="P23" s="137">
        <f>IF(S23=2,0,IF(S23=1.5,0.3-((M23-1)*0.3/4),IF(S23=1.2,0.6-((M23-1)*0.6/4),1.2-((M23-1)*1.2/4))))</f>
        <v>0.375</v>
      </c>
      <c r="Q23" s="132">
        <f>IF(M23&gt;0,P23,0)</f>
        <v>0</v>
      </c>
      <c r="R23" s="132">
        <f>IF(M23=0,0,IF(M23-Q23&gt;=1,M23-Q23,1))</f>
        <v>0</v>
      </c>
      <c r="S23" s="138">
        <v>1.5</v>
      </c>
      <c r="T23" s="139">
        <f>IF(M23&gt;0,S23,0)</f>
        <v>0</v>
      </c>
      <c r="U23" s="139">
        <f>IF(M23&gt;0,S23*R23,0)</f>
        <v>0</v>
      </c>
      <c r="V23" s="140">
        <f>IF(S23=2,R23,0)</f>
        <v>0</v>
      </c>
      <c r="W23" s="65"/>
      <c r="X23" s="65"/>
      <c r="Y23" s="149" t="s">
        <v>84</v>
      </c>
    </row>
    <row r="24" ht="27" customHeight="1" spans="2:25" x14ac:dyDescent="0.25">
      <c r="B24" s="142">
        <v>2004</v>
      </c>
      <c r="C24" s="143" t="s">
        <v>96</v>
      </c>
      <c r="D24" s="143"/>
      <c r="E24" s="138" t="s">
        <v>72</v>
      </c>
      <c r="F24" s="144"/>
      <c r="G24" s="144"/>
      <c r="H24" s="145" t="s">
        <v>140</v>
      </c>
      <c r="I24" s="146">
        <v>2</v>
      </c>
      <c r="J24" s="144" t="s">
        <v>75</v>
      </c>
      <c r="K24" s="147">
        <f>IF(J24="E",0.7,IF(J24="D",0.3,IF(J24="C",0.1,0)))</f>
        <v>0</v>
      </c>
      <c r="L24" s="147">
        <f>IF(I24="רכיב לא קיים",0,I24)</f>
        <v>2</v>
      </c>
      <c r="M24" s="138">
        <f>IF(L24=5,5,K24+L24)</f>
        <v>2</v>
      </c>
      <c r="N24" s="144"/>
      <c r="O24" s="144"/>
      <c r="P24" s="147">
        <f>IF(S24=2,0,IF(S24=1.5,0.3-((M24-1)*0.3/4),IF(S24=1.2,0.6-((M24-1)*0.6/4),1.2-((M24-1)*1.2/4))))</f>
        <v>0</v>
      </c>
      <c r="Q24" s="132">
        <f>IF(M24&gt;0,P24,0)</f>
        <v>0</v>
      </c>
      <c r="R24" s="132">
        <f>IF(M24=0,0,IF(M24-Q24&gt;=1,M24-Q24,1))</f>
        <v>2</v>
      </c>
      <c r="S24" s="138">
        <v>2</v>
      </c>
      <c r="T24" s="139">
        <f>IF(M24&gt;0,S24,0)</f>
        <v>2</v>
      </c>
      <c r="U24" s="139">
        <f>IF(M24&gt;0,S24*R24,0)</f>
        <v>4</v>
      </c>
      <c r="V24" s="140">
        <f>IF(S24=2,R24,0)</f>
        <v>2</v>
      </c>
      <c r="W24" s="65"/>
      <c r="X24" s="65"/>
      <c r="Y24" s="149" t="s">
        <v>84</v>
      </c>
    </row>
    <row r="25" ht="27" customHeight="1" spans="2:25" x14ac:dyDescent="0.25">
      <c r="B25" s="142">
        <v>2005</v>
      </c>
      <c r="C25" s="150" t="s">
        <v>97</v>
      </c>
      <c r="D25" s="150"/>
      <c r="E25" s="138" t="s">
        <v>72</v>
      </c>
      <c r="F25" s="144"/>
      <c r="G25" s="144"/>
      <c r="H25" s="145" t="s">
        <v>139</v>
      </c>
      <c r="I25" s="146">
        <v>2</v>
      </c>
      <c r="J25" s="144" t="s">
        <v>75</v>
      </c>
      <c r="K25" s="147">
        <f>IF(J25="E",0.7,IF(J25="D",0.3,IF(J25="C",0.1,0)))</f>
        <v>0</v>
      </c>
      <c r="L25" s="147">
        <f>IF(I25="רכיב לא קיים",0,I25)</f>
        <v>2</v>
      </c>
      <c r="M25" s="138">
        <f>IF(L25=5,5,K25+L25)</f>
        <v>2</v>
      </c>
      <c r="N25" s="144"/>
      <c r="O25" s="144"/>
      <c r="P25" s="147">
        <f>IF(S25=2,0,IF(S25=1.5,0.3-((M25-1)*0.3/4),IF(S25=1.2,0.6-((M25-1)*0.6/4),1.2-((M25-1)*1.2/4))))</f>
        <v>0</v>
      </c>
      <c r="Q25" s="132">
        <f>IF(M25&gt;0,P25,0)</f>
        <v>0</v>
      </c>
      <c r="R25" s="132">
        <f>IF(M25=0,0,IF(M25-Q25&gt;=1,M25-Q25,1))</f>
        <v>2</v>
      </c>
      <c r="S25" s="138">
        <v>2</v>
      </c>
      <c r="T25" s="139">
        <f>IF(M25&gt;0,S25,0)</f>
        <v>2</v>
      </c>
      <c r="U25" s="139">
        <f>IF(M25&gt;0,S25*R25,0)</f>
        <v>4</v>
      </c>
      <c r="V25" s="140">
        <f>IF(S25=2,R25,0)</f>
        <v>2</v>
      </c>
      <c r="W25" s="65"/>
      <c r="X25" s="65"/>
      <c r="Y25" s="149"/>
    </row>
    <row r="26" ht="27" customHeight="1" spans="2:25" x14ac:dyDescent="0.25">
      <c r="B26" s="142">
        <v>2006</v>
      </c>
      <c r="C26" s="150" t="s">
        <v>98</v>
      </c>
      <c r="D26" s="150"/>
      <c r="E26" s="138" t="s">
        <v>90</v>
      </c>
      <c r="F26" s="144"/>
      <c r="G26" s="144"/>
      <c r="H26" s="145"/>
      <c r="I26" s="146"/>
      <c r="J26" s="144"/>
      <c r="K26" s="147">
        <f>IF(J26="E",0.7,IF(J26="D",0.3,IF(J26="C",0.1,0)))</f>
        <v>0</v>
      </c>
      <c r="L26" s="147">
        <f>IF(I26="רכיב לא קיים",0,I26)</f>
        <v>0</v>
      </c>
      <c r="M26" s="138">
        <f>IF(L26=5,5,K26+L26)</f>
        <v>0</v>
      </c>
      <c r="N26" s="144"/>
      <c r="O26" s="144"/>
      <c r="P26" s="147">
        <f>IF(S26=2,0,IF(S26=1.5,0.3-((M26-1)*0.3/4),IF(S26=1.2,0.6-((M26-1)*0.6/4),1.2-((M26-1)*1.2/4))))</f>
        <v>0.375</v>
      </c>
      <c r="Q26" s="132">
        <f>IF(M26&gt;0,P26,0)</f>
        <v>0</v>
      </c>
      <c r="R26" s="132">
        <f>IF(M26=0,0,IF(M26-Q26&gt;=1,M26-Q26,1))</f>
        <v>0</v>
      </c>
      <c r="S26" s="138">
        <v>1.5</v>
      </c>
      <c r="T26" s="139">
        <f>IF(M26&gt;0,S26,0)</f>
        <v>0</v>
      </c>
      <c r="U26" s="139">
        <f>IF(M26&gt;0,S26*R26,0)</f>
        <v>0</v>
      </c>
      <c r="V26" s="140">
        <f>IF(S26=2,R26,0)</f>
        <v>0</v>
      </c>
      <c r="W26" s="65"/>
      <c r="X26" s="65"/>
      <c r="Y26" s="149"/>
    </row>
    <row r="27" ht="27" customHeight="1" spans="2:25" x14ac:dyDescent="0.25">
      <c r="B27" s="142">
        <v>2007</v>
      </c>
      <c r="C27" s="150" t="s">
        <v>99</v>
      </c>
      <c r="D27" s="150"/>
      <c r="E27" s="138" t="s">
        <v>90</v>
      </c>
      <c r="F27" s="144"/>
      <c r="G27" s="144"/>
      <c r="H27" s="151"/>
      <c r="I27" s="146"/>
      <c r="J27" s="144"/>
      <c r="K27" s="147">
        <f>IF(J27="E",0.7,IF(J27="D",0.3,IF(J27="C",0.1,0)))</f>
        <v>0</v>
      </c>
      <c r="L27" s="147">
        <f>IF(I27="רכיב לא קיים",0,I27)</f>
        <v>0</v>
      </c>
      <c r="M27" s="138">
        <f>IF(L27=5,5,K27+L27)</f>
        <v>0</v>
      </c>
      <c r="N27" s="144"/>
      <c r="O27" s="144"/>
      <c r="P27" s="147">
        <f>IF(S27=2,0,IF(S27=1.5,0.3-((M27-1)*0.3/4),IF(S27=1.2,0.6-((M27-1)*0.6/4),1.2-((M27-1)*1.2/4))))</f>
        <v>0.375</v>
      </c>
      <c r="Q27" s="132">
        <f>IF(M27&gt;0,P27,0)</f>
        <v>0</v>
      </c>
      <c r="R27" s="132">
        <f>IF(M27=0,0,IF(M27-Q27&gt;=1,M27-Q27,1))</f>
        <v>0</v>
      </c>
      <c r="S27" s="138">
        <v>1.5</v>
      </c>
      <c r="T27" s="139">
        <f>IF(M27&gt;0,S27,0)</f>
        <v>0</v>
      </c>
      <c r="U27" s="139">
        <f>IF(M27&gt;0,S27*R27,0)</f>
        <v>0</v>
      </c>
      <c r="V27" s="140">
        <f>IF(S27=2,R27,0)</f>
        <v>0</v>
      </c>
      <c r="W27" s="65"/>
      <c r="X27" s="65"/>
      <c r="Y27" s="149" t="s">
        <v>84</v>
      </c>
    </row>
    <row r="28" ht="27" customHeight="1" spans="2:25" x14ac:dyDescent="0.25">
      <c r="B28" s="142">
        <v>2008</v>
      </c>
      <c r="C28" s="143" t="s">
        <v>100</v>
      </c>
      <c r="D28" s="143"/>
      <c r="E28" s="138" t="s">
        <v>101</v>
      </c>
      <c r="F28" s="144"/>
      <c r="G28" s="144"/>
      <c r="H28" s="145"/>
      <c r="I28" s="146"/>
      <c r="J28" s="144"/>
      <c r="K28" s="147">
        <f>IF(J28="E",0.7,IF(J28="D",0.3,IF(J28="C",0.1,0)))</f>
        <v>0</v>
      </c>
      <c r="L28" s="147">
        <f>IF(I28="רכיב לא קיים",0,I28)</f>
        <v>0</v>
      </c>
      <c r="M28" s="138">
        <f>IF(L28=5,5,K28+L28)</f>
        <v>0</v>
      </c>
      <c r="N28" s="144"/>
      <c r="O28" s="144"/>
      <c r="P28" s="147">
        <f>IF(S28=2,0,IF(S28=1.5,0.3-((M28-1)*0.3/4),IF(S28=1.2,0.6-((M28-1)*0.6/4),1.2-((M28-1)*1.2/4))))</f>
        <v>0.75</v>
      </c>
      <c r="Q28" s="132">
        <f>IF(M28&gt;0,P28,0)</f>
        <v>0</v>
      </c>
      <c r="R28" s="132">
        <f>IF(M28=0,0,IF(M28-Q28&gt;=1,M28-Q28,1))</f>
        <v>0</v>
      </c>
      <c r="S28" s="138">
        <v>1.2</v>
      </c>
      <c r="T28" s="139">
        <f>IF(M28&gt;0,S28,0)</f>
        <v>0</v>
      </c>
      <c r="U28" s="139">
        <f>IF(M28&gt;0,S28*R28,0)</f>
        <v>0</v>
      </c>
      <c r="V28" s="140">
        <f>IF(S28=2,R28,0)</f>
        <v>0</v>
      </c>
      <c r="W28" s="65"/>
      <c r="X28" s="65"/>
      <c r="Y28" s="149" t="s">
        <v>84</v>
      </c>
    </row>
    <row r="29" ht="27" customHeight="1" spans="2:25" x14ac:dyDescent="0.25">
      <c r="B29" s="142">
        <v>3001</v>
      </c>
      <c r="C29" s="150" t="s">
        <v>102</v>
      </c>
      <c r="D29" s="150"/>
      <c r="E29" s="138" t="s">
        <v>101</v>
      </c>
      <c r="F29" s="144"/>
      <c r="G29" s="144"/>
      <c r="H29" s="151"/>
      <c r="I29" s="146"/>
      <c r="J29" s="144"/>
      <c r="K29" s="147">
        <f>IF(J29="E",0.7,IF(J29="D",0.3,IF(J29="C",0.1,0)))</f>
        <v>0</v>
      </c>
      <c r="L29" s="147">
        <f>IF(I29="רכיב לא קיים",0,I29)</f>
        <v>0</v>
      </c>
      <c r="M29" s="138">
        <f>IF(L29=5,5,K29+L29)</f>
        <v>0</v>
      </c>
      <c r="N29" s="144"/>
      <c r="O29" s="144"/>
      <c r="P29" s="147">
        <f>IF(S29=2,0,IF(S29=1.5,0.3-((M29-1)*0.3/4),IF(S29=1.2,0.6-((M29-1)*0.6/4),1.2-((M29-1)*1.2/4))))</f>
        <v>0.75</v>
      </c>
      <c r="Q29" s="132">
        <f>IF(M29&gt;0,P29,0)</f>
        <v>0</v>
      </c>
      <c r="R29" s="132">
        <f>IF(M29=0,0,IF(M29-Q29&gt;=1,M29-Q29,1))</f>
        <v>0</v>
      </c>
      <c r="S29" s="138">
        <v>1.2</v>
      </c>
      <c r="T29" s="139">
        <f>IF(M29&gt;0,S29,0)</f>
        <v>0</v>
      </c>
      <c r="U29" s="139">
        <f>IF(M29&gt;0,S29*R29,0)</f>
        <v>0</v>
      </c>
      <c r="V29" s="140">
        <f>IF(S29=2,R29,0)</f>
        <v>0</v>
      </c>
      <c r="W29" s="65"/>
      <c r="X29" s="65"/>
      <c r="Y29" s="149" t="s">
        <v>84</v>
      </c>
    </row>
    <row r="30" ht="27" customHeight="1" spans="2:25" x14ac:dyDescent="0.25">
      <c r="B30" s="142">
        <v>3002</v>
      </c>
      <c r="C30" s="150" t="s">
        <v>103</v>
      </c>
      <c r="D30" s="150"/>
      <c r="E30" s="138" t="s">
        <v>101</v>
      </c>
      <c r="F30" s="144"/>
      <c r="G30" s="144"/>
      <c r="H30" s="151"/>
      <c r="I30" s="146"/>
      <c r="J30" s="144"/>
      <c r="K30" s="147">
        <f>IF(J30="E",0.7,IF(J30="D",0.3,IF(J30="C",0.1,0)))</f>
        <v>0</v>
      </c>
      <c r="L30" s="147">
        <f>IF(I30="רכיב לא קיים",0,I30)</f>
        <v>0</v>
      </c>
      <c r="M30" s="138">
        <f>IF(L30=5,5,K30+L30)</f>
        <v>0</v>
      </c>
      <c r="N30" s="144"/>
      <c r="O30" s="144"/>
      <c r="P30" s="147">
        <f>IF(S30=2,0,IF(S30=1.5,0.3-((M30-1)*0.3/4),IF(S30=1.2,0.6-((M30-1)*0.6/4),1.2-((M30-1)*1.2/4))))</f>
        <v>0.75</v>
      </c>
      <c r="Q30" s="132">
        <f>IF(M30&gt;0,P30,0)</f>
        <v>0</v>
      </c>
      <c r="R30" s="132">
        <f>IF(M30=0,0,IF(M30-Q30&gt;=1,M30-Q30,1))</f>
        <v>0</v>
      </c>
      <c r="S30" s="138">
        <v>1.2</v>
      </c>
      <c r="T30" s="139">
        <f>IF(M30&gt;0,S30,0)</f>
        <v>0</v>
      </c>
      <c r="U30" s="139">
        <f>IF(M30&gt;0,S30*R30,0)</f>
        <v>0</v>
      </c>
      <c r="V30" s="140">
        <f>IF(S30=2,R30,0)</f>
        <v>0</v>
      </c>
      <c r="W30" s="65"/>
      <c r="X30" s="65"/>
      <c r="Y30" s="149" t="s">
        <v>84</v>
      </c>
    </row>
    <row r="31" ht="27" customHeight="1" spans="2:25" x14ac:dyDescent="0.25">
      <c r="B31" s="142">
        <v>3003</v>
      </c>
      <c r="C31" s="143" t="s">
        <v>104</v>
      </c>
      <c r="D31" s="143"/>
      <c r="E31" s="138" t="s">
        <v>101</v>
      </c>
      <c r="F31" s="144"/>
      <c r="G31" s="144"/>
      <c r="H31" s="145"/>
      <c r="I31" s="146"/>
      <c r="J31" s="144"/>
      <c r="K31" s="147">
        <f>IF(J31="E",0.7,IF(J31="D",0.3,IF(J31="C",0.1,0)))</f>
        <v>0</v>
      </c>
      <c r="L31" s="147">
        <f>IF(I31="רכיב לא קיים",0,I31)</f>
        <v>0</v>
      </c>
      <c r="M31" s="138">
        <f>IF(L31=5,5,K31+L31)</f>
        <v>0</v>
      </c>
      <c r="N31" s="144"/>
      <c r="O31" s="144"/>
      <c r="P31" s="147">
        <f>IF(S31=2,0,IF(S31=1.5,0.3-((M31-1)*0.3/4),IF(S31=1.2,0.6-((M31-1)*0.6/4),1.2-((M31-1)*1.2/4))))</f>
        <v>0.75</v>
      </c>
      <c r="Q31" s="132">
        <f>IF(M31&gt;0,P31,0)</f>
        <v>0</v>
      </c>
      <c r="R31" s="132">
        <f>IF(M31=0,0,IF(M31-Q31&gt;=1,M31-Q31,1))</f>
        <v>0</v>
      </c>
      <c r="S31" s="138">
        <v>1.2</v>
      </c>
      <c r="T31" s="139">
        <f>IF(M31&gt;0,S31,0)</f>
        <v>0</v>
      </c>
      <c r="U31" s="139">
        <f>IF(M31&gt;0,S31*R31,0)</f>
        <v>0</v>
      </c>
      <c r="V31" s="140">
        <f>IF(S31=2,R31,0)</f>
        <v>0</v>
      </c>
      <c r="W31" s="65"/>
      <c r="X31" s="65"/>
      <c r="Y31" s="149" t="s">
        <v>84</v>
      </c>
    </row>
    <row r="32" ht="27" customHeight="1" spans="2:25" x14ac:dyDescent="0.25">
      <c r="B32" s="142">
        <v>7002</v>
      </c>
      <c r="C32" s="143" t="s">
        <v>105</v>
      </c>
      <c r="D32" s="143"/>
      <c r="E32" s="138" t="s">
        <v>90</v>
      </c>
      <c r="F32" s="144"/>
      <c r="G32" s="144"/>
      <c r="H32" s="145" t="s">
        <v>144</v>
      </c>
      <c r="I32" s="146">
        <v>2</v>
      </c>
      <c r="J32" s="144" t="s">
        <v>81</v>
      </c>
      <c r="K32" s="147">
        <f>IF(J32="E",0.7,IF(J32="D",0.3,IF(J32="C",0.1,0)))</f>
        <v>0.1</v>
      </c>
      <c r="L32" s="147">
        <f>IF(I32="רכיב לא קיים",0,I32)</f>
        <v>2</v>
      </c>
      <c r="M32" s="138">
        <f>IF(L32=5,5,K32+L32)</f>
        <v>2.1</v>
      </c>
      <c r="N32" s="144"/>
      <c r="O32" s="144"/>
      <c r="P32" s="147">
        <f>IF(S32=2,0,IF(S32=1.5,0.3-((M32-1)*0.3/4),IF(S32=1.2,0.6-((M32-1)*0.6/4),1.2-((M32-1)*1.2/4))))</f>
        <v>0.2175</v>
      </c>
      <c r="Q32" s="132">
        <f>IF(M32&gt;0,P32,0)</f>
        <v>0.2175</v>
      </c>
      <c r="R32" s="132">
        <f>IF(M32=0,0,IF(M32-Q32&gt;=1,M32-Q32,1))</f>
        <v>1.8825</v>
      </c>
      <c r="S32" s="138">
        <v>1.5</v>
      </c>
      <c r="T32" s="139">
        <f>IF(M32&gt;0,S32,0)</f>
        <v>1.5</v>
      </c>
      <c r="U32" s="139">
        <f>IF(M32&gt;0,S32*R32,0)</f>
        <v>2.82375</v>
      </c>
      <c r="V32" s="140">
        <f>IF(S32=2,R32,0)</f>
        <v>0</v>
      </c>
      <c r="W32" s="65"/>
      <c r="X32" s="65"/>
      <c r="Y32" s="149" t="s">
        <v>84</v>
      </c>
    </row>
    <row r="33" ht="27" customHeight="1" spans="2:25" x14ac:dyDescent="0.25">
      <c r="B33" s="142">
        <v>3005</v>
      </c>
      <c r="C33" s="143" t="s">
        <v>107</v>
      </c>
      <c r="D33" s="143"/>
      <c r="E33" s="138" t="s">
        <v>101</v>
      </c>
      <c r="F33" s="144"/>
      <c r="G33" s="144"/>
      <c r="H33" s="151"/>
      <c r="I33" s="146"/>
      <c r="J33" s="144"/>
      <c r="K33" s="147">
        <f>IF(J33="E",0.7,IF(J33="D",0.3,IF(J33="C",0.1,0)))</f>
        <v>0</v>
      </c>
      <c r="L33" s="147">
        <f>IF(I33="רכיב לא קיים",0,I33)</f>
        <v>0</v>
      </c>
      <c r="M33" s="138">
        <f>IF(L33=5,5,K33+L33)</f>
        <v>0</v>
      </c>
      <c r="N33" s="144"/>
      <c r="O33" s="144"/>
      <c r="P33" s="147">
        <f>IF(S33=2,0,IF(S33=1.5,0.3-((M33-1)*0.3/4),IF(S33=1.2,0.6-((M33-1)*0.6/4),1.2-((M33-1)*1.2/4))))</f>
        <v>0.75</v>
      </c>
      <c r="Q33" s="132">
        <f>IF(M33&gt;0,P33,0)</f>
        <v>0</v>
      </c>
      <c r="R33" s="132">
        <f>IF(M33=0,0,IF(M33-Q33&gt;=1,M33-Q33,1))</f>
        <v>0</v>
      </c>
      <c r="S33" s="138">
        <v>1.2</v>
      </c>
      <c r="T33" s="139">
        <f>IF(M33&gt;0,S33,0)</f>
        <v>0</v>
      </c>
      <c r="U33" s="139">
        <f>IF(M33&gt;0,S33*R33,0)</f>
        <v>0</v>
      </c>
      <c r="V33" s="140">
        <f>IF(S33=2,R33,0)</f>
        <v>0</v>
      </c>
      <c r="W33" s="65"/>
      <c r="X33" s="65"/>
      <c r="Y33" s="149" t="s">
        <v>84</v>
      </c>
    </row>
    <row r="34" ht="27" customHeight="1" spans="2:25" x14ac:dyDescent="0.25">
      <c r="B34" s="142">
        <v>3006</v>
      </c>
      <c r="C34" s="143" t="s">
        <v>108</v>
      </c>
      <c r="D34" s="143"/>
      <c r="E34" s="138" t="s">
        <v>101</v>
      </c>
      <c r="F34" s="144"/>
      <c r="G34" s="144"/>
      <c r="H34" s="151"/>
      <c r="I34" s="146"/>
      <c r="J34" s="144"/>
      <c r="K34" s="147">
        <f>IF(J34="E",0.7,IF(J34="D",0.3,IF(J34="C",0.1,0)))</f>
        <v>0</v>
      </c>
      <c r="L34" s="147">
        <f>IF(I34="רכיב לא קיים",0,I34)</f>
        <v>0</v>
      </c>
      <c r="M34" s="138">
        <f>IF(L34=5,5,K34+L34)</f>
        <v>0</v>
      </c>
      <c r="N34" s="144"/>
      <c r="O34" s="144"/>
      <c r="P34" s="147">
        <f>IF(S34=2,0,IF(S34=1.5,0.3-((M34-1)*0.3/4),IF(S34=1.2,0.6-((M34-1)*0.6/4),1.2-((M34-1)*1.2/4))))</f>
        <v>0.75</v>
      </c>
      <c r="Q34" s="132">
        <f>IF(M34&gt;0,P34,0)</f>
        <v>0</v>
      </c>
      <c r="R34" s="132">
        <f>IF(M34=0,0,IF(M34-Q34&gt;=1,M34-Q34,1))</f>
        <v>0</v>
      </c>
      <c r="S34" s="138">
        <v>1.2</v>
      </c>
      <c r="T34" s="139">
        <f>IF(M34&gt;0,S34,0)</f>
        <v>0</v>
      </c>
      <c r="U34" s="139">
        <f>IF(M34&gt;0,S34*R34,0)</f>
        <v>0</v>
      </c>
      <c r="V34" s="140">
        <f>IF(S34=2,R34,0)</f>
        <v>0</v>
      </c>
      <c r="W34" s="65"/>
      <c r="X34" s="65"/>
      <c r="Y34" s="149" t="s">
        <v>84</v>
      </c>
    </row>
    <row r="35" ht="27" customHeight="1" spans="2:25" x14ac:dyDescent="0.25">
      <c r="B35" s="142">
        <v>3007</v>
      </c>
      <c r="C35" s="143" t="s">
        <v>109</v>
      </c>
      <c r="D35" s="143"/>
      <c r="E35" s="138" t="s">
        <v>101</v>
      </c>
      <c r="F35" s="144"/>
      <c r="G35" s="144"/>
      <c r="H35" s="213">
        <v>5.1</v>
      </c>
      <c r="I35" s="146">
        <v>2</v>
      </c>
      <c r="J35" s="144" t="s">
        <v>75</v>
      </c>
      <c r="K35" s="147">
        <f>IF(J35="E",0.7,IF(J35="D",0.3,IF(J35="C",0.1,0)))</f>
        <v>0</v>
      </c>
      <c r="L35" s="147">
        <f>IF(I35="רכיב לא קיים",0,I35)</f>
        <v>2</v>
      </c>
      <c r="M35" s="138">
        <f>IF(L35=5,5,K35+L35)</f>
        <v>2</v>
      </c>
      <c r="N35" s="144"/>
      <c r="O35" s="144"/>
      <c r="P35" s="147">
        <f>IF(S35=2,0,IF(S35=1.5,0.3-((M35-1)*0.3/4),IF(S35=1.2,0.6-((M35-1)*0.6/4),1.2-((M35-1)*1.2/4))))</f>
        <v>0.45</v>
      </c>
      <c r="Q35" s="132">
        <f>IF(M35&gt;0,P35,0)</f>
        <v>0.45</v>
      </c>
      <c r="R35" s="132">
        <f>IF(M35=0,0,IF(M35-Q35&gt;=1,M35-Q35,1))</f>
        <v>1.55</v>
      </c>
      <c r="S35" s="138">
        <v>1.2</v>
      </c>
      <c r="T35" s="139">
        <f>IF(M35&gt;0,S35,0)</f>
        <v>1.2</v>
      </c>
      <c r="U35" s="139">
        <f>IF(M35&gt;0,S35*R35,0)</f>
        <v>1.86</v>
      </c>
      <c r="V35" s="140">
        <f>IF(S35=2,R35,0)</f>
        <v>0</v>
      </c>
      <c r="W35" s="65"/>
      <c r="X35" s="65"/>
      <c r="Y35" s="149" t="s">
        <v>84</v>
      </c>
    </row>
    <row r="36" ht="27" customHeight="1" spans="2:25" x14ac:dyDescent="0.25">
      <c r="B36" s="142">
        <v>4001</v>
      </c>
      <c r="C36" s="143" t="s">
        <v>111</v>
      </c>
      <c r="D36" s="143"/>
      <c r="E36" s="138" t="s">
        <v>101</v>
      </c>
      <c r="F36" s="144"/>
      <c r="G36" s="144"/>
      <c r="H36" s="151"/>
      <c r="I36" s="146"/>
      <c r="J36" s="144"/>
      <c r="K36" s="147">
        <f>IF(J36="E",0.7,IF(J36="D",0.3,IF(J36="C",0.1,0)))</f>
        <v>0</v>
      </c>
      <c r="L36" s="147">
        <f>IF(I36="רכיב לא קיים",0,I36)</f>
        <v>0</v>
      </c>
      <c r="M36" s="138">
        <f>IF(L36=5,5,K36+L36)</f>
        <v>0</v>
      </c>
      <c r="N36" s="144"/>
      <c r="O36" s="144"/>
      <c r="P36" s="147">
        <f>IF(S36=2,0,IF(S36=1.5,0.3-((M36-1)*0.3/4),IF(S36=1.2,0.6-((M36-1)*0.6/4),1.2-((M36-1)*1.2/4))))</f>
        <v>0.75</v>
      </c>
      <c r="Q36" s="132">
        <f>IF(M36&gt;0,P36,0)</f>
        <v>0</v>
      </c>
      <c r="R36" s="132">
        <f>IF(M36=0,0,IF(M36-Q36&gt;=1,M36-Q36,1))</f>
        <v>0</v>
      </c>
      <c r="S36" s="138">
        <v>1.2</v>
      </c>
      <c r="T36" s="139">
        <f>IF(M36&gt;0,S36,0)</f>
        <v>0</v>
      </c>
      <c r="U36" s="139">
        <f>IF(M36&gt;0,S36*R36,0)</f>
        <v>0</v>
      </c>
      <c r="V36" s="140">
        <f>IF(S36=2,R36,0)</f>
        <v>0</v>
      </c>
      <c r="W36" s="65"/>
      <c r="X36" s="65"/>
      <c r="Y36" s="149" t="s">
        <v>84</v>
      </c>
    </row>
    <row r="37" ht="27" customHeight="1" spans="2:25" x14ac:dyDescent="0.25">
      <c r="B37" s="142">
        <v>6009</v>
      </c>
      <c r="C37" s="143" t="s">
        <v>112</v>
      </c>
      <c r="D37" s="143"/>
      <c r="E37" s="138" t="s">
        <v>90</v>
      </c>
      <c r="F37" s="144"/>
      <c r="G37" s="144"/>
      <c r="H37" s="145"/>
      <c r="I37" s="146"/>
      <c r="J37" s="144"/>
      <c r="K37" s="147">
        <f>IF(J37="E",0.7,IF(J37="D",0.3,IF(J37="C",0.1,0)))</f>
        <v>0</v>
      </c>
      <c r="L37" s="147">
        <f>IF(I37="רכיב לא קיים",0,I37)</f>
        <v>0</v>
      </c>
      <c r="M37" s="138">
        <f>IF(L37=5,5,K37+L37)</f>
        <v>0</v>
      </c>
      <c r="N37" s="144"/>
      <c r="O37" s="144"/>
      <c r="P37" s="147">
        <f>IF(S37=2,0,IF(S37=1.5,0.3-((M37-1)*0.3/4),IF(S37=1.2,0.6-((M37-1)*0.6/4),1.2-((M37-1)*1.2/4))))</f>
        <v>0.375</v>
      </c>
      <c r="Q37" s="132">
        <f>IF(M37&gt;0,P37,0)</f>
        <v>0</v>
      </c>
      <c r="R37" s="132">
        <f>IF(M37=0,0,IF(M37-Q37&gt;=1,M37-Q37,1))</f>
        <v>0</v>
      </c>
      <c r="S37" s="138">
        <v>1.5</v>
      </c>
      <c r="T37" s="139">
        <f>IF(M37&gt;0,S37,0)</f>
        <v>0</v>
      </c>
      <c r="U37" s="139">
        <f>IF(M37&gt;0,S37*R37,0)</f>
        <v>0</v>
      </c>
      <c r="V37" s="140">
        <f>IF(S37=2,R37,0)</f>
        <v>0</v>
      </c>
      <c r="W37" s="65"/>
      <c r="X37" s="65"/>
      <c r="Y37" s="149" t="s">
        <v>84</v>
      </c>
    </row>
    <row r="38" ht="27" customHeight="1" spans="2:25" x14ac:dyDescent="0.25">
      <c r="B38" s="142">
        <v>7000</v>
      </c>
      <c r="C38" s="150" t="s">
        <v>114</v>
      </c>
      <c r="D38" s="150"/>
      <c r="E38" s="138" t="s">
        <v>101</v>
      </c>
      <c r="F38" s="144"/>
      <c r="G38" s="144"/>
      <c r="H38" s="145" t="s">
        <v>145</v>
      </c>
      <c r="I38" s="146">
        <v>2</v>
      </c>
      <c r="J38" s="144" t="s">
        <v>75</v>
      </c>
      <c r="K38" s="147">
        <f>IF(J38="E",0.7,IF(J38="D",0.3,IF(J38="C",0.1,0)))</f>
        <v>0</v>
      </c>
      <c r="L38" s="147">
        <f>IF(I38="רכיב לא קיים",0,I38)</f>
        <v>2</v>
      </c>
      <c r="M38" s="138">
        <f>IF(L38=5,5,K38+L38)</f>
        <v>2</v>
      </c>
      <c r="N38" s="144"/>
      <c r="O38" s="144"/>
      <c r="P38" s="147">
        <f>IF(S38=2,0,IF(S38=1.5,0.3-((M38-1)*0.3/4),IF(S38=1.2,0.6-((M38-1)*0.6/4),1.2-((M38-1)*1.2/4))))</f>
        <v>0.45</v>
      </c>
      <c r="Q38" s="132">
        <f>IF(M38&gt;0,P38,0)</f>
        <v>0.45</v>
      </c>
      <c r="R38" s="132">
        <f>IF(M38=0,0,IF(M38-Q38&gt;=1,M38-Q38,1))</f>
        <v>1.55</v>
      </c>
      <c r="S38" s="138">
        <v>1.2</v>
      </c>
      <c r="T38" s="139">
        <f>IF(M38&gt;0,S38,0)</f>
        <v>1.2</v>
      </c>
      <c r="U38" s="139">
        <f>IF(M38&gt;0,S38*R38,0)</f>
        <v>1.86</v>
      </c>
      <c r="V38" s="140">
        <f>IF(S38=2,R38,0)</f>
        <v>0</v>
      </c>
      <c r="W38" s="65"/>
      <c r="X38" s="65"/>
      <c r="Y38" s="149"/>
    </row>
    <row r="39" ht="27" customHeight="1" spans="2:25" x14ac:dyDescent="0.25">
      <c r="B39" s="142">
        <v>7001</v>
      </c>
      <c r="C39" s="153" t="s">
        <v>116</v>
      </c>
      <c r="D39" s="153"/>
      <c r="E39" s="138" t="s">
        <v>117</v>
      </c>
      <c r="F39" s="144"/>
      <c r="G39" s="144"/>
      <c r="H39" s="145"/>
      <c r="I39" s="146"/>
      <c r="J39" s="144"/>
      <c r="K39" s="147">
        <f>IF(J39="E",0.7,IF(J39="D",0.3,IF(J39="C",0.1,0)))</f>
        <v>0</v>
      </c>
      <c r="L39" s="147">
        <f>IF(I39="רכיב לא קיים",0,I39)</f>
        <v>0</v>
      </c>
      <c r="M39" s="138">
        <f>IF(L39=5,5,K39+L39)</f>
        <v>0</v>
      </c>
      <c r="N39" s="144"/>
      <c r="O39" s="144"/>
      <c r="P39" s="147">
        <f>IF(S39=2,0,IF(S39=1.5,0.3-((M39-1)*0.3/4),IF(S39=1.2,0.6-((M39-1)*0.6/4),1.2-((M39-1)*1.2/4))))</f>
        <v>1.5</v>
      </c>
      <c r="Q39" s="132">
        <f>IF(M39&gt;0,P39,0)</f>
        <v>0</v>
      </c>
      <c r="R39" s="132">
        <f>IF(M39=0,0,IF(M39-Q39&gt;=1,M39-Q39,1))</f>
        <v>0</v>
      </c>
      <c r="S39" s="138">
        <v>1</v>
      </c>
      <c r="T39" s="139">
        <f>IF(M39&gt;0,S39,0)</f>
        <v>0</v>
      </c>
      <c r="U39" s="139">
        <f>IF(M39&gt;0,S39*R39,0)</f>
        <v>0</v>
      </c>
      <c r="V39" s="140">
        <f>IF(S39=2,R39,0)</f>
        <v>0</v>
      </c>
      <c r="W39" s="65"/>
      <c r="X39" s="65"/>
      <c r="Y39" s="149" t="s">
        <v>84</v>
      </c>
    </row>
    <row r="40" ht="27" customHeight="1" spans="2:25" x14ac:dyDescent="0.25">
      <c r="B40" s="142">
        <v>5001</v>
      </c>
      <c r="C40" s="143" t="s">
        <v>119</v>
      </c>
      <c r="D40" s="143"/>
      <c r="E40" s="138" t="s">
        <v>101</v>
      </c>
      <c r="F40" s="144"/>
      <c r="G40" s="144"/>
      <c r="H40" s="145"/>
      <c r="I40" s="146"/>
      <c r="J40" s="144"/>
      <c r="K40" s="147">
        <f>IF(J40="E",0.7,IF(J40="D",0.3,IF(J40="C",0.1,0)))</f>
        <v>0</v>
      </c>
      <c r="L40" s="147">
        <f>IF(I40="רכיב לא קיים",0,I40)</f>
        <v>0</v>
      </c>
      <c r="M40" s="138">
        <f>IF(L40=5,5,K40+L40)</f>
        <v>0</v>
      </c>
      <c r="N40" s="144"/>
      <c r="O40" s="144"/>
      <c r="P40" s="147">
        <f>IF(S40=2,0,IF(S40=1.5,0.3-((M40-1)*0.3/4),IF(S40=1.2,0.6-((M40-1)*0.6/4),1.2-((M40-1)*1.2/4))))</f>
        <v>0.75</v>
      </c>
      <c r="Q40" s="132">
        <f>IF(M40&gt;0,P40,0)</f>
        <v>0</v>
      </c>
      <c r="R40" s="132">
        <f>IF(M40=0,0,IF(M40-Q40&gt;=1,M40-Q40,1))</f>
        <v>0</v>
      </c>
      <c r="S40" s="138">
        <v>1.2</v>
      </c>
      <c r="T40" s="139">
        <f>IF(M40&gt;0,S40,0)</f>
        <v>0</v>
      </c>
      <c r="U40" s="139">
        <f>IF(M40&gt;0,S40*R40,0)</f>
        <v>0</v>
      </c>
      <c r="V40" s="140">
        <f>IF(S40=2,R40,0)</f>
        <v>0</v>
      </c>
      <c r="W40" s="65"/>
      <c r="X40" s="65"/>
      <c r="Y40" s="149" t="s">
        <v>84</v>
      </c>
    </row>
    <row r="41" ht="27" customHeight="1" spans="2:25" x14ac:dyDescent="0.25">
      <c r="B41" s="142">
        <v>5002</v>
      </c>
      <c r="C41" s="143" t="s">
        <v>120</v>
      </c>
      <c r="D41" s="143"/>
      <c r="E41" s="138" t="s">
        <v>101</v>
      </c>
      <c r="F41" s="144"/>
      <c r="G41" s="144"/>
      <c r="H41" s="145"/>
      <c r="I41" s="146"/>
      <c r="J41" s="144"/>
      <c r="K41" s="147">
        <f>IF(J41="E",0.7,IF(J41="D",0.3,IF(J41="C",0.1,0)))</f>
        <v>0</v>
      </c>
      <c r="L41" s="147">
        <f>IF(I41="רכיב לא קיים",0,I41)</f>
        <v>0</v>
      </c>
      <c r="M41" s="138">
        <f>IF(L41=5,5,K41+L41)</f>
        <v>0</v>
      </c>
      <c r="N41" s="144"/>
      <c r="O41" s="144"/>
      <c r="P41" s="147">
        <f>IF(S41=2,0,IF(S41=1.5,0.3-((M41-1)*0.3/4),IF(S41=1.2,0.6-((M41-1)*0.6/4),1.2-((M41-1)*1.2/4))))</f>
        <v>0.75</v>
      </c>
      <c r="Q41" s="132">
        <f>IF(M41&gt;0,P41,0)</f>
        <v>0</v>
      </c>
      <c r="R41" s="132">
        <f>IF(M41=0,0,IF(M41-Q41&gt;=1,M41-Q41,1))</f>
        <v>0</v>
      </c>
      <c r="S41" s="138">
        <v>1.2</v>
      </c>
      <c r="T41" s="139">
        <f>IF(M41&gt;0,S41,0)</f>
        <v>0</v>
      </c>
      <c r="U41" s="139">
        <f>IF(M41&gt;0,S41*R41,0)</f>
        <v>0</v>
      </c>
      <c r="V41" s="140">
        <f>IF(S41=2,R41,0)</f>
        <v>0</v>
      </c>
      <c r="W41" s="65"/>
      <c r="X41" s="65"/>
      <c r="Y41" s="149"/>
    </row>
    <row r="42" ht="36.75" customHeight="1" spans="2:25" x14ac:dyDescent="0.25">
      <c r="B42" s="142">
        <v>5003</v>
      </c>
      <c r="C42" s="143" t="s">
        <v>121</v>
      </c>
      <c r="D42" s="143"/>
      <c r="E42" s="138" t="s">
        <v>101</v>
      </c>
      <c r="F42" s="144"/>
      <c r="G42" s="144"/>
      <c r="H42" s="151"/>
      <c r="I42" s="146"/>
      <c r="J42" s="144"/>
      <c r="K42" s="147">
        <f>IF(J42="E",0.7,IF(J42="D",0.3,IF(J42="C",0.1,0)))</f>
        <v>0</v>
      </c>
      <c r="L42" s="147">
        <f>IF(I42="רכיב לא קיים",0,I42)</f>
        <v>0</v>
      </c>
      <c r="M42" s="138">
        <f>IF(L42=5,5,K42+L42)</f>
        <v>0</v>
      </c>
      <c r="N42" s="144"/>
      <c r="O42" s="144"/>
      <c r="P42" s="147">
        <f>IF(S42=2,0,IF(S42=1.5,0.3-((M42-1)*0.3/4),IF(S42=1.2,0.6-((M42-1)*0.6/4),1.2-((M42-1)*1.2/4))))</f>
        <v>0.75</v>
      </c>
      <c r="Q42" s="132">
        <f>IF(M42&gt;0,P42,0)</f>
        <v>0</v>
      </c>
      <c r="R42" s="132">
        <f>IF(M42=0,0,IF(M42-Q42&gt;=1,M42-Q42,1))</f>
        <v>0</v>
      </c>
      <c r="S42" s="138">
        <v>1.2</v>
      </c>
      <c r="T42" s="139">
        <f>IF(M42&gt;0,S42,0)</f>
        <v>0</v>
      </c>
      <c r="U42" s="139">
        <f>IF(M42&gt;0,S42*R42,0)</f>
        <v>0</v>
      </c>
      <c r="V42" s="140">
        <f>IF(S42=2,R42,0)</f>
        <v>0</v>
      </c>
      <c r="W42" s="65"/>
      <c r="X42" s="65"/>
      <c r="Y42" s="149" t="s">
        <v>84</v>
      </c>
    </row>
    <row r="43" ht="27" customHeight="1" spans="2:25" x14ac:dyDescent="0.25">
      <c r="B43" s="142">
        <v>5004</v>
      </c>
      <c r="C43" s="143" t="s">
        <v>122</v>
      </c>
      <c r="D43" s="143"/>
      <c r="E43" s="138" t="s">
        <v>101</v>
      </c>
      <c r="F43" s="144"/>
      <c r="G43" s="144"/>
      <c r="H43" s="151"/>
      <c r="I43" s="146"/>
      <c r="J43" s="144"/>
      <c r="K43" s="147">
        <f>IF(J43="E",0.7,IF(J43="D",0.3,IF(J43="C",0.1,0)))</f>
        <v>0</v>
      </c>
      <c r="L43" s="147">
        <f>IF(I43="רכיב לא קיים",0,I43)</f>
        <v>0</v>
      </c>
      <c r="M43" s="138">
        <f>IF(L43=5,5,K43+L43)</f>
        <v>0</v>
      </c>
      <c r="N43" s="144"/>
      <c r="O43" s="144"/>
      <c r="P43" s="147">
        <f>IF(S43=2,0,IF(S43=1.5,0.3-((M43-1)*0.3/4),IF(S43=1.2,0.6-((M43-1)*0.6/4),1.2-((M43-1)*1.2/4))))</f>
        <v>0.75</v>
      </c>
      <c r="Q43" s="132">
        <f>IF(M43&gt;0,P43,0)</f>
        <v>0</v>
      </c>
      <c r="R43" s="132">
        <f>IF(M43=0,0,IF(M43-Q43&gt;=1,M43-Q43,1))</f>
        <v>0</v>
      </c>
      <c r="S43" s="138">
        <v>1.2</v>
      </c>
      <c r="T43" s="139">
        <f>IF(M43&gt;0,S43,0)</f>
        <v>0</v>
      </c>
      <c r="U43" s="139">
        <f>IF(M43&gt;0,S43*R43,0)</f>
        <v>0</v>
      </c>
      <c r="V43" s="140">
        <f>IF(S43=2,R43,0)</f>
        <v>0</v>
      </c>
      <c r="W43" s="65"/>
      <c r="X43" s="65"/>
      <c r="Y43" s="149" t="s">
        <v>84</v>
      </c>
    </row>
    <row r="44" ht="27" customHeight="1" spans="2:25" x14ac:dyDescent="0.25">
      <c r="B44" s="142">
        <v>5005</v>
      </c>
      <c r="C44" s="143" t="s">
        <v>123</v>
      </c>
      <c r="D44" s="143"/>
      <c r="E44" s="138" t="s">
        <v>117</v>
      </c>
      <c r="F44" s="144"/>
      <c r="G44" s="144"/>
      <c r="H44" s="151"/>
      <c r="I44" s="146"/>
      <c r="J44" s="144"/>
      <c r="K44" s="147">
        <f>IF(J44="E",0.7,IF(J44="D",0.3,IF(J44="C",0.1,0)))</f>
        <v>0</v>
      </c>
      <c r="L44" s="147">
        <f>IF(I44="רכיב לא קיים",0,I44)</f>
        <v>0</v>
      </c>
      <c r="M44" s="138">
        <f>IF(L44=5,5,K44+L44)</f>
        <v>0</v>
      </c>
      <c r="N44" s="144"/>
      <c r="O44" s="144"/>
      <c r="P44" s="147">
        <f>IF(S44=2,0,IF(S44=1.5,0.3-((M44-1)*0.3/4),IF(S44=1.2,0.6-((M44-1)*0.6/4),1.2-((M44-1)*1.2/4))))</f>
        <v>1.5</v>
      </c>
      <c r="Q44" s="132">
        <f>IF(M44&gt;0,P44,0)</f>
        <v>0</v>
      </c>
      <c r="R44" s="132">
        <f>IF(M44=0,0,IF(M44-Q44&gt;=1,M44-Q44,1))</f>
        <v>0</v>
      </c>
      <c r="S44" s="138">
        <v>1</v>
      </c>
      <c r="T44" s="139">
        <f>IF(M44&gt;0,S44,0)</f>
        <v>0</v>
      </c>
      <c r="U44" s="139">
        <f>IF(M44&gt;0,S44*R44,0)</f>
        <v>0</v>
      </c>
      <c r="V44" s="140">
        <f>IF(S44=2,R44,0)</f>
        <v>0</v>
      </c>
      <c r="W44" s="65"/>
      <c r="X44" s="65"/>
      <c r="Y44" s="149" t="s">
        <v>84</v>
      </c>
    </row>
    <row r="45" ht="27" customHeight="1" spans="2:25" x14ac:dyDescent="0.25">
      <c r="B45" s="142">
        <v>5006</v>
      </c>
      <c r="C45" s="150" t="s">
        <v>124</v>
      </c>
      <c r="D45" s="150"/>
      <c r="E45" s="138" t="s">
        <v>90</v>
      </c>
      <c r="F45" s="144"/>
      <c r="G45" s="144"/>
      <c r="H45" s="151"/>
      <c r="I45" s="146"/>
      <c r="J45" s="144"/>
      <c r="K45" s="147">
        <f>IF(J45="E",0.7,IF(J45="D",0.3,IF(J45="C",0.1,0)))</f>
        <v>0</v>
      </c>
      <c r="L45" s="147">
        <f>IF(I45="רכיב לא קיים",0,I45)</f>
        <v>0</v>
      </c>
      <c r="M45" s="138">
        <f>IF(L45=5,5,K45+L45)</f>
        <v>0</v>
      </c>
      <c r="N45" s="144"/>
      <c r="O45" s="144"/>
      <c r="P45" s="147">
        <f>IF(S45=2,0,IF(S45=1.5,0.3-((M45-1)*0.3/4),IF(S45=1.2,0.6-((M45-1)*0.6/4),1.2-((M45-1)*1.2/4))))</f>
        <v>0.375</v>
      </c>
      <c r="Q45" s="132">
        <f>IF(M45&gt;0,P45,0)</f>
        <v>0</v>
      </c>
      <c r="R45" s="132">
        <f>IF(M45=0,0,IF(M45-Q45&gt;=1,M45-Q45,1))</f>
        <v>0</v>
      </c>
      <c r="S45" s="138">
        <v>1.5</v>
      </c>
      <c r="T45" s="139">
        <f>IF(M45&gt;0,S45,0)</f>
        <v>0</v>
      </c>
      <c r="U45" s="139">
        <f>IF(M45&gt;0,S45*R45,0)</f>
        <v>0</v>
      </c>
      <c r="V45" s="140">
        <f>IF(S45=2,R45,0)</f>
        <v>0</v>
      </c>
      <c r="W45" s="65"/>
      <c r="X45" s="65"/>
      <c r="Y45" s="149" t="s">
        <v>84</v>
      </c>
    </row>
    <row r="46" ht="27" customHeight="1" spans="2:25" x14ac:dyDescent="0.25">
      <c r="B46" s="142">
        <v>5007</v>
      </c>
      <c r="C46" s="143" t="s">
        <v>125</v>
      </c>
      <c r="D46" s="143"/>
      <c r="E46" s="138" t="s">
        <v>101</v>
      </c>
      <c r="F46" s="144"/>
      <c r="G46" s="144"/>
      <c r="H46" s="151"/>
      <c r="I46" s="146"/>
      <c r="J46" s="144"/>
      <c r="K46" s="147">
        <f>IF(J46="E",0.7,IF(J46="D",0.3,IF(J46="C",0.1,0)))</f>
        <v>0</v>
      </c>
      <c r="L46" s="147">
        <f>IF(I46="רכיב לא קיים",0,I46)</f>
        <v>0</v>
      </c>
      <c r="M46" s="138">
        <f>IF(L46=5,5,K46+L46)</f>
        <v>0</v>
      </c>
      <c r="N46" s="144"/>
      <c r="O46" s="144"/>
      <c r="P46" s="147">
        <f>IF(S46=2,0,IF(S46=1.5,0.3-((M46-1)*0.3/4),IF(S46=1.2,0.6-((M46-1)*0.6/4),1.2-((M46-1)*1.2/4))))</f>
        <v>0.75</v>
      </c>
      <c r="Q46" s="132">
        <f>IF(M46&gt;0,P46,0)</f>
        <v>0</v>
      </c>
      <c r="R46" s="132">
        <f>IF(M46=0,0,IF(M46-Q46&gt;=1,M46-Q46,1))</f>
        <v>0</v>
      </c>
      <c r="S46" s="138">
        <v>1.2</v>
      </c>
      <c r="T46" s="139">
        <f>IF(M46&gt;0,S46,0)</f>
        <v>0</v>
      </c>
      <c r="U46" s="139">
        <f>IF(M46&gt;0,S46*R46,0)</f>
        <v>0</v>
      </c>
      <c r="V46" s="140">
        <f>IF(S46=2,R46,0)</f>
        <v>0</v>
      </c>
      <c r="W46" s="65"/>
      <c r="X46" s="65"/>
      <c r="Y46" s="149" t="s">
        <v>84</v>
      </c>
    </row>
    <row r="47" ht="27" customHeight="1" spans="2:25" x14ac:dyDescent="0.25">
      <c r="B47" s="142">
        <v>5008</v>
      </c>
      <c r="C47" s="150" t="s">
        <v>126</v>
      </c>
      <c r="D47" s="150"/>
      <c r="E47" s="138" t="s">
        <v>117</v>
      </c>
      <c r="F47" s="144"/>
      <c r="G47" s="144"/>
      <c r="H47" s="145"/>
      <c r="I47" s="146"/>
      <c r="J47" s="144"/>
      <c r="K47" s="147">
        <f>IF(J47="E",0.7,IF(J47="D",0.3,IF(J47="C",0.1,0)))</f>
        <v>0</v>
      </c>
      <c r="L47" s="147">
        <f>IF(I47="רכיב לא קיים",0,I47)</f>
        <v>0</v>
      </c>
      <c r="M47" s="138">
        <f>IF(L47=5,5,K47+L47)</f>
        <v>0</v>
      </c>
      <c r="N47" s="144"/>
      <c r="O47" s="144"/>
      <c r="P47" s="147">
        <f>IF(S47=2,0,IF(S47=1.5,0.3-((M47-1)*0.3/4),IF(S47=1.2,0.6-((M47-1)*0.6/4),1.2-((M47-1)*1.2/4))))</f>
        <v>1.5</v>
      </c>
      <c r="Q47" s="132">
        <f>IF(M47&gt;0,P47,0)</f>
        <v>0</v>
      </c>
      <c r="R47" s="132">
        <f>IF(M47=0,0,IF(M47-Q47&gt;=1,M47-Q47,1))</f>
        <v>0</v>
      </c>
      <c r="S47" s="138">
        <v>1</v>
      </c>
      <c r="T47" s="139">
        <f>IF(M47&gt;0,S47,0)</f>
        <v>0</v>
      </c>
      <c r="U47" s="139">
        <f>IF(M47&gt;0,S47*R47,0)</f>
        <v>0</v>
      </c>
      <c r="V47" s="140">
        <f>IF(S47=2,R47,0)</f>
        <v>0</v>
      </c>
      <c r="W47" s="65"/>
      <c r="X47" s="65"/>
      <c r="Y47" s="149" t="s">
        <v>84</v>
      </c>
    </row>
    <row r="48" ht="27" customHeight="1" spans="2:25" x14ac:dyDescent="0.25">
      <c r="B48" s="154">
        <v>3004</v>
      </c>
      <c r="C48" s="155" t="s">
        <v>142</v>
      </c>
      <c r="D48" s="155"/>
      <c r="E48" s="156" t="s">
        <v>101</v>
      </c>
      <c r="F48" s="157"/>
      <c r="G48" s="157"/>
      <c r="H48" s="158"/>
      <c r="I48" s="159"/>
      <c r="J48" s="157"/>
      <c r="K48" s="160">
        <f>IF(J48="E",0.7,IF(J48="D",0.3,IF(J48="C",0.1,0)))</f>
        <v>0</v>
      </c>
      <c r="L48" s="160">
        <f>IF(I48="רכיב לא קיים",0,I48)</f>
        <v>0</v>
      </c>
      <c r="M48" s="156">
        <f>IF(L48=5,5,K48+L48)</f>
        <v>0</v>
      </c>
      <c r="N48" s="157"/>
      <c r="O48" s="157"/>
      <c r="P48" s="160">
        <f>IF(S48=2,0,IF(S48=1.5,0.3-((M48-1)*0.3/4),IF(S48=1.2,0.6-((M48-1)*0.6/4),1.2-((M48-1)*1.2/4))))</f>
        <v>0.75</v>
      </c>
      <c r="Q48" s="161">
        <f>IF(M48&gt;0,P48,0)</f>
        <v>0</v>
      </c>
      <c r="R48" s="161">
        <f>IF(M48=0,0,IF(M48-Q48&gt;=1,M48-Q48,1))</f>
        <v>0</v>
      </c>
      <c r="S48" s="156">
        <v>1.2</v>
      </c>
      <c r="T48" s="139">
        <f>IF(M48&gt;0,S48,0)</f>
        <v>0</v>
      </c>
      <c r="U48" s="139">
        <f>IF(M48&gt;0,S48*R48,0)</f>
        <v>0</v>
      </c>
      <c r="V48" s="140">
        <f>IF(S48=2,R48,0)</f>
        <v>0</v>
      </c>
      <c r="W48" s="109"/>
      <c r="X48" s="109"/>
      <c r="Y48" s="149" t="s">
        <v>84</v>
      </c>
    </row>
    <row r="49" ht="13.5" customHeight="1" spans="3:20" x14ac:dyDescent="0.25">
      <c r="C49" s="162"/>
      <c r="D49" s="6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63"/>
      <c r="R49" s="163"/>
      <c r="S49" s="105"/>
      <c r="T49" s="164"/>
    </row>
    <row r="50" ht="19.5" customHeight="1" spans="3:15" x14ac:dyDescent="0.25">
      <c r="C50" s="165"/>
      <c r="D50" s="166"/>
      <c r="E50" s="167"/>
      <c r="F50" s="168" t="s">
        <v>128</v>
      </c>
      <c r="G50" s="169"/>
      <c r="H50" s="169"/>
      <c r="I50" s="170"/>
      <c r="J50" s="171"/>
      <c r="K50" s="164"/>
      <c r="L50" s="164"/>
      <c r="N50" s="172"/>
      <c r="O50" s="172"/>
    </row>
    <row r="51" ht="13.5" customHeight="1" spans="3:19" x14ac:dyDescent="0.25">
      <c r="C51" s="173"/>
      <c r="D51" s="174"/>
      <c r="E51" s="174"/>
      <c r="F51" s="174"/>
      <c r="G51" s="174"/>
      <c r="H51" s="175"/>
      <c r="I51" s="175"/>
      <c r="J51" s="176"/>
      <c r="K51" s="164"/>
      <c r="L51" s="164"/>
      <c r="N51" s="164"/>
      <c r="O51" s="164"/>
      <c r="S51" s="164"/>
    </row>
    <row r="52" ht="16.5" customHeight="1" spans="3:19" x14ac:dyDescent="0.25">
      <c r="C52" s="177">
        <f>SUM(U15:U48)/SUM(T15:T48)</f>
        <v>1.87310606060606</v>
      </c>
      <c r="D52" s="178" t="s">
        <v>129</v>
      </c>
      <c r="E52" s="178"/>
      <c r="F52" s="178"/>
      <c r="G52" s="179" t="s">
        <v>130</v>
      </c>
      <c r="H52" s="180"/>
      <c r="I52" s="181"/>
      <c r="J52" s="176"/>
      <c r="K52" s="164"/>
      <c r="L52" s="164"/>
      <c r="S52" s="164"/>
    </row>
    <row r="53" ht="15" customHeight="1" spans="3:19" x14ac:dyDescent="0.25">
      <c r="C53" s="182"/>
      <c r="D53" s="181"/>
      <c r="E53" s="183"/>
      <c r="F53" s="183"/>
      <c r="G53" s="183"/>
      <c r="H53" s="183"/>
      <c r="I53" s="183"/>
      <c r="J53" s="176"/>
      <c r="K53" s="164"/>
      <c r="L53" s="164"/>
      <c r="M53" s="164"/>
      <c r="N53" s="164"/>
      <c r="O53" s="164"/>
      <c r="R53" s="164"/>
      <c r="S53" s="164"/>
    </row>
    <row r="54" ht="13.5" customHeight="1" spans="3:19" x14ac:dyDescent="0.25">
      <c r="C54" s="173"/>
      <c r="D54" s="184"/>
      <c r="E54" s="184"/>
      <c r="F54" s="184"/>
      <c r="G54" s="184"/>
      <c r="H54" s="184"/>
      <c r="I54" s="184"/>
      <c r="J54" s="176"/>
      <c r="K54" s="164"/>
      <c r="L54" s="164"/>
      <c r="M54" s="164"/>
      <c r="N54" s="164"/>
      <c r="O54" s="164"/>
      <c r="R54" s="164"/>
      <c r="S54" s="164"/>
    </row>
    <row r="55" ht="16.5" customHeight="1" spans="3:19" x14ac:dyDescent="0.25">
      <c r="C55" s="185">
        <f>MAX(V15:V48)</f>
        <v>2</v>
      </c>
      <c r="D55" s="186" t="s">
        <v>131</v>
      </c>
      <c r="E55" s="186"/>
      <c r="F55" s="186"/>
      <c r="G55" s="186"/>
      <c r="H55" s="187" t="s">
        <v>132</v>
      </c>
      <c r="I55" s="184"/>
      <c r="J55" s="188"/>
      <c r="K55" s="189"/>
      <c r="L55" s="190"/>
      <c r="M55" s="191"/>
      <c r="N55" s="164"/>
      <c r="O55" s="164"/>
      <c r="R55" s="164"/>
      <c r="S55" s="164"/>
    </row>
    <row r="56" ht="13.5" customHeight="1" spans="3:19" x14ac:dyDescent="0.25">
      <c r="C56" s="192"/>
      <c r="D56" s="174"/>
      <c r="E56" s="174"/>
      <c r="F56" s="174"/>
      <c r="G56" s="174"/>
      <c r="H56" s="174"/>
      <c r="I56" s="174"/>
      <c r="J56" s="184"/>
      <c r="K56" s="164"/>
      <c r="L56" s="164"/>
      <c r="M56" s="191"/>
      <c r="N56" s="164"/>
      <c r="O56" s="164"/>
      <c r="R56" s="164"/>
      <c r="S56" s="164"/>
    </row>
    <row r="57" ht="13.5" customHeight="1" spans="3:19" x14ac:dyDescent="0.25">
      <c r="C57" s="164"/>
      <c r="D57" s="164"/>
      <c r="E57" s="164"/>
      <c r="F57" s="164"/>
      <c r="G57" s="164"/>
      <c r="H57" s="164"/>
      <c r="I57" s="193"/>
      <c r="J57" s="164"/>
      <c r="K57" s="164"/>
      <c r="L57" s="164"/>
      <c r="M57" s="164"/>
      <c r="N57" s="164"/>
      <c r="O57" s="164"/>
      <c r="R57" s="164"/>
      <c r="S57" s="164"/>
    </row>
    <row r="58" ht="18.75" customHeight="1" spans="3:19" x14ac:dyDescent="0.25">
      <c r="C58" s="194"/>
      <c r="D58" s="194"/>
      <c r="E58" s="195" t="s">
        <v>133</v>
      </c>
      <c r="F58" s="195"/>
      <c r="G58" s="195"/>
      <c r="H58" s="195"/>
      <c r="I58" s="167"/>
      <c r="J58" s="196"/>
      <c r="K58" s="65"/>
      <c r="L58" s="65"/>
      <c r="M58" s="65"/>
      <c r="N58" s="65"/>
      <c r="O58" s="65"/>
      <c r="R58" s="164"/>
      <c r="S58" s="164"/>
    </row>
    <row r="59" ht="13.5" customHeight="1" spans="3:15" x14ac:dyDescent="0.25">
      <c r="C59" s="180"/>
      <c r="D59" s="197"/>
      <c r="E59" s="197"/>
      <c r="F59" s="197"/>
      <c r="G59" s="197"/>
      <c r="H59" s="197"/>
      <c r="I59" s="197"/>
      <c r="J59" s="198"/>
      <c r="K59" s="65"/>
      <c r="L59" s="65"/>
      <c r="M59" s="65"/>
      <c r="N59" s="65"/>
      <c r="O59" s="65"/>
    </row>
    <row r="60" ht="18.75" customHeight="1" spans="3:17" x14ac:dyDescent="0.25">
      <c r="C60" s="60">
        <f>100-(2*((C52*C52)+(6.5*C52)-7.5))</f>
        <v>83.6325685835629</v>
      </c>
      <c r="D60" s="199" t="s">
        <v>134</v>
      </c>
      <c r="E60" s="199"/>
      <c r="F60" s="199"/>
      <c r="G60" s="199"/>
      <c r="H60" s="200" t="s">
        <v>135</v>
      </c>
      <c r="I60" s="201"/>
      <c r="J60" s="202"/>
      <c r="K60" s="65"/>
      <c r="L60" s="65"/>
      <c r="M60" s="65"/>
      <c r="N60" s="65"/>
      <c r="O60" s="65"/>
      <c r="P60" s="65"/>
      <c r="Q60" s="65"/>
    </row>
    <row r="61" ht="12.75" customHeight="1" spans="3:15" x14ac:dyDescent="0.25">
      <c r="C61" s="180"/>
      <c r="D61" s="203"/>
      <c r="E61" s="203"/>
      <c r="F61" s="203"/>
      <c r="G61" s="203"/>
      <c r="H61" s="203"/>
      <c r="I61" s="203"/>
      <c r="J61" s="198"/>
      <c r="K61" s="65"/>
      <c r="L61" s="65"/>
      <c r="M61" s="65"/>
      <c r="N61" s="65"/>
      <c r="O61" s="65"/>
    </row>
    <row r="62" ht="15.75" customHeight="1" spans="3:15" x14ac:dyDescent="0.25">
      <c r="C62" s="204"/>
      <c r="D62" s="204"/>
      <c r="E62" s="203"/>
      <c r="F62" s="203"/>
      <c r="G62" s="203"/>
      <c r="H62" s="203"/>
      <c r="I62" s="203"/>
      <c r="J62" s="198"/>
      <c r="K62" s="65"/>
      <c r="L62" s="65"/>
      <c r="M62" s="65"/>
      <c r="N62" s="65"/>
      <c r="O62" s="65"/>
    </row>
    <row r="63" ht="18.75" customHeight="1" spans="3:15" x14ac:dyDescent="0.25">
      <c r="C63" s="205">
        <f>100-(2*((C55*C55)+(6.5*C55)-7.5))</f>
        <v>81</v>
      </c>
      <c r="D63" s="206" t="s">
        <v>136</v>
      </c>
      <c r="E63" s="206"/>
      <c r="F63" s="206"/>
      <c r="G63" s="206"/>
      <c r="H63" s="200" t="s">
        <v>137</v>
      </c>
      <c r="I63" s="207"/>
      <c r="J63" s="198"/>
      <c r="K63" s="208"/>
      <c r="L63" s="208"/>
      <c r="M63" s="65"/>
      <c r="N63" s="65"/>
      <c r="O63" s="65"/>
    </row>
    <row r="64" ht="13.5" customHeight="1" spans="3:14" x14ac:dyDescent="0.25">
      <c r="C64" s="209"/>
      <c r="D64" s="210"/>
      <c r="E64" s="210"/>
      <c r="F64" s="210"/>
      <c r="G64" s="210"/>
      <c r="H64" s="210"/>
      <c r="I64" s="197"/>
      <c r="J64" s="211"/>
      <c r="K64" s="65"/>
      <c r="L64" s="65"/>
      <c r="M64" s="65"/>
      <c r="N64" s="65"/>
    </row>
  </sheetData>
  <mergeCells count="138">
    <mergeCell ref="B3:C3"/>
    <mergeCell ref="D3:F3"/>
    <mergeCell ref="H3:M3"/>
    <mergeCell ref="N3:O3"/>
    <mergeCell ref="B4:C4"/>
    <mergeCell ref="D4:F4"/>
    <mergeCell ref="H4:M4"/>
    <mergeCell ref="N4:Q4"/>
    <mergeCell ref="R4:S4"/>
    <mergeCell ref="B5:H5"/>
    <mergeCell ref="M5:Y5"/>
    <mergeCell ref="B7:D7"/>
    <mergeCell ref="E7:F7"/>
    <mergeCell ref="M7:N7"/>
    <mergeCell ref="O7:P7"/>
    <mergeCell ref="R7:S7"/>
    <mergeCell ref="B9:Y9"/>
    <mergeCell ref="C11:D11"/>
    <mergeCell ref="F11:G11"/>
    <mergeCell ref="N11:O11"/>
    <mergeCell ref="C12:D12"/>
    <mergeCell ref="F12:G12"/>
    <mergeCell ref="N12:O12"/>
    <mergeCell ref="C13:D13"/>
    <mergeCell ref="F13:G13"/>
    <mergeCell ref="N13:O13"/>
    <mergeCell ref="C14:D14"/>
    <mergeCell ref="F14:G14"/>
    <mergeCell ref="N14:O14"/>
    <mergeCell ref="C15:D15"/>
    <mergeCell ref="F15:G15"/>
    <mergeCell ref="N15:O15"/>
    <mergeCell ref="C16:D16"/>
    <mergeCell ref="F16:G16"/>
    <mergeCell ref="N16:O16"/>
    <mergeCell ref="C17:D17"/>
    <mergeCell ref="F17:G17"/>
    <mergeCell ref="N17:O17"/>
    <mergeCell ref="C18:D18"/>
    <mergeCell ref="F18:G18"/>
    <mergeCell ref="N18:O18"/>
    <mergeCell ref="C19:D19"/>
    <mergeCell ref="F19:G19"/>
    <mergeCell ref="N19:O19"/>
    <mergeCell ref="C20:D20"/>
    <mergeCell ref="F20:G20"/>
    <mergeCell ref="N20:O20"/>
    <mergeCell ref="C21:D21"/>
    <mergeCell ref="F21:G21"/>
    <mergeCell ref="N21:O21"/>
    <mergeCell ref="C22:D22"/>
    <mergeCell ref="F22:G22"/>
    <mergeCell ref="N22:O22"/>
    <mergeCell ref="C23:D23"/>
    <mergeCell ref="F23:G23"/>
    <mergeCell ref="N23:O23"/>
    <mergeCell ref="C24:D24"/>
    <mergeCell ref="F24:G24"/>
    <mergeCell ref="N24:O24"/>
    <mergeCell ref="C25:D25"/>
    <mergeCell ref="F25:G25"/>
    <mergeCell ref="N25:O25"/>
    <mergeCell ref="C26:D26"/>
    <mergeCell ref="F26:G26"/>
    <mergeCell ref="N26:O26"/>
    <mergeCell ref="C27:D27"/>
    <mergeCell ref="F27:G27"/>
    <mergeCell ref="N27:O27"/>
    <mergeCell ref="C28:D28"/>
    <mergeCell ref="F28:G28"/>
    <mergeCell ref="N28:O28"/>
    <mergeCell ref="C29:D29"/>
    <mergeCell ref="F29:G29"/>
    <mergeCell ref="N29:O29"/>
    <mergeCell ref="C30:D30"/>
    <mergeCell ref="F30:G30"/>
    <mergeCell ref="N30:O30"/>
    <mergeCell ref="C31:D31"/>
    <mergeCell ref="F31:G31"/>
    <mergeCell ref="N31:O31"/>
    <mergeCell ref="C32:D32"/>
    <mergeCell ref="F32:G32"/>
    <mergeCell ref="N32:O32"/>
    <mergeCell ref="C33:D33"/>
    <mergeCell ref="F33:G33"/>
    <mergeCell ref="N33:O33"/>
    <mergeCell ref="C34:D34"/>
    <mergeCell ref="F34:G34"/>
    <mergeCell ref="N34:O34"/>
    <mergeCell ref="C35:D35"/>
    <mergeCell ref="F35:G35"/>
    <mergeCell ref="N35:O35"/>
    <mergeCell ref="C36:D36"/>
    <mergeCell ref="F36:G36"/>
    <mergeCell ref="N36:O36"/>
    <mergeCell ref="C37:D37"/>
    <mergeCell ref="F37:G37"/>
    <mergeCell ref="N37:O37"/>
    <mergeCell ref="C38:D38"/>
    <mergeCell ref="F38:G38"/>
    <mergeCell ref="N38:O38"/>
    <mergeCell ref="C39:D39"/>
    <mergeCell ref="F39:G39"/>
    <mergeCell ref="N39:O39"/>
    <mergeCell ref="C40:D40"/>
    <mergeCell ref="F40:G40"/>
    <mergeCell ref="N40:O40"/>
    <mergeCell ref="C41:D41"/>
    <mergeCell ref="F41:G41"/>
    <mergeCell ref="N41:O41"/>
    <mergeCell ref="C42:D42"/>
    <mergeCell ref="F42:G42"/>
    <mergeCell ref="N42:O42"/>
    <mergeCell ref="C43:D43"/>
    <mergeCell ref="F43:G43"/>
    <mergeCell ref="N43:O43"/>
    <mergeCell ref="C44:D44"/>
    <mergeCell ref="F44:G44"/>
    <mergeCell ref="N44:O44"/>
    <mergeCell ref="C45:D45"/>
    <mergeCell ref="F45:G45"/>
    <mergeCell ref="N45:O45"/>
    <mergeCell ref="C46:D46"/>
    <mergeCell ref="F46:G46"/>
    <mergeCell ref="N46:O46"/>
    <mergeCell ref="C47:D47"/>
    <mergeCell ref="F47:G47"/>
    <mergeCell ref="N47:O47"/>
    <mergeCell ref="C48:D48"/>
    <mergeCell ref="F48:G48"/>
    <mergeCell ref="N48:O48"/>
    <mergeCell ref="D52:F52"/>
    <mergeCell ref="D55:G55"/>
    <mergeCell ref="C58:D58"/>
    <mergeCell ref="E58:H58"/>
    <mergeCell ref="D60:G60"/>
    <mergeCell ref="C62:D62"/>
    <mergeCell ref="D63:G63"/>
  </mergeCells>
  <dataValidations count="19">
    <dataValidation type="list" allowBlank="1" showInputMessage="1" prompt="לחץ לקבלת רשימת הערכים" showErrorMessage="1" errorStyle="stop" sqref="I13:I15">
      <formula1>$W$13:$W$16</formula1>
      <formula2>0</formula2>
    </dataValidation>
    <dataValidation type="list" allowBlank="1" showInputMessage="1" prompt="לחץ לקבלת רשימת הערכים" showErrorMessage="1" errorStyle="stop" sqref="I16:I19">
      <formula1>$W$15:$W$19</formula1>
      <formula2>0</formula2>
    </dataValidation>
    <dataValidation type="list" allowBlank="1" showInputMessage="1" prompt="לחץ לקבלת רשימת הערכים" showErrorMessage="1" errorStyle="stop" sqref="I20">
      <formula1>$W$13:$W$16</formula1>
      <formula2>0</formula2>
    </dataValidation>
    <dataValidation type="list" allowBlank="1" showInputMessage="1" prompt="לחץ לקבלת רשימת הערכים" showErrorMessage="1" errorStyle="stop" sqref="I21:I48">
      <formula1>$W$15:$W$19</formula1>
      <formula2>0</formula2>
    </dataValidation>
    <dataValidation type="list" allowBlank="1" showErrorMessage="1" errorStyle="stop" sqref="I5">
      <formula1>$AC$11:$AC$21</formula1>
      <formula2>0</formula2>
    </dataValidation>
    <dataValidation type="list" allowBlank="1" showInputMessage="1" prompt="לחץ לקבלת רשימת ערכים " showErrorMessage="1" errorStyle="stop" sqref="J13:J15">
      <formula1>$X$13:$X$15</formula1>
      <formula2>0</formula2>
    </dataValidation>
    <dataValidation type="list" allowBlank="1" showInputMessage="1" prompt="לחץ לקבלת רשימת ערכים " showErrorMessage="1" errorStyle="stop" sqref="J16:J19">
      <formula1>$X$15:$X$17</formula1>
      <formula2>0</formula2>
    </dataValidation>
    <dataValidation type="list" allowBlank="1" showInputMessage="1" prompt="לחץ לקבלת רשימת ערכים " showErrorMessage="1" errorStyle="stop" sqref="J20">
      <formula1>$X$13:$X$15</formula1>
      <formula2>0</formula2>
    </dataValidation>
    <dataValidation type="list" allowBlank="1" showInputMessage="1" prompt="לחץ לקבלת רשימת ערכים " showErrorMessage="1" errorStyle="stop" sqref="J21:J23">
      <formula1>$X$15:$X$17</formula1>
      <formula2>0</formula2>
    </dataValidation>
    <dataValidation type="list" allowBlank="1" showInputMessage="1" prompt="לחץ לקבלת רשימת ערכים " showErrorMessage="1" errorStyle="stop" sqref="J24:J26">
      <formula1>$X$13:$X$15</formula1>
      <formula2>0</formula2>
    </dataValidation>
    <dataValidation type="list" allowBlank="1" showInputMessage="1" prompt="לחץ לקבלת רשימת ערכים " showErrorMessage="1" errorStyle="stop" sqref="J27">
      <formula1>$X$15:$X$17</formula1>
      <formula2>0</formula2>
    </dataValidation>
    <dataValidation type="list" allowBlank="1" showInputMessage="1" prompt="לחץ לקבלת רשימת ערכים " showErrorMessage="1" errorStyle="stop" sqref="J28">
      <formula1>$X$13:$X$15</formula1>
      <formula2>0</formula2>
    </dataValidation>
    <dataValidation type="list" allowBlank="1" showInputMessage="1" prompt="לחץ לקבלת רשימת ערכים " showErrorMessage="1" errorStyle="stop" sqref="J29:J34">
      <formula1>$X$15:$X$17</formula1>
      <formula2>0</formula2>
    </dataValidation>
    <dataValidation type="list" allowBlank="1" showInputMessage="1" prompt="לחץ לקבלת רשימת ערכים " showErrorMessage="1" errorStyle="stop" sqref="J35">
      <formula1>$X$13:$X$15</formula1>
      <formula2>0</formula2>
    </dataValidation>
    <dataValidation type="list" allowBlank="1" showInputMessage="1" prompt="לחץ לקבלת רשימת ערכים " showErrorMessage="1" errorStyle="stop" sqref="J36:J37">
      <formula1>$X$15:$X$17</formula1>
      <formula2>0</formula2>
    </dataValidation>
    <dataValidation type="list" allowBlank="1" showInputMessage="1" prompt="לחץ לקבלת רשימת ערכים " showErrorMessage="1" errorStyle="stop" sqref="J38:J39">
      <formula1>$X$13:$X$15</formula1>
      <formula2>0</formula2>
    </dataValidation>
    <dataValidation type="list" allowBlank="1" showInputMessage="1" prompt="לחץ לקבלת רשימת ערכים " showErrorMessage="1" errorStyle="stop" sqref="J40">
      <formula1>$X$15:$X$17</formula1>
      <formula2>0</formula2>
    </dataValidation>
    <dataValidation type="list" allowBlank="1" showInputMessage="1" prompt="לחץ לקבלת רשימת ערכים " showErrorMessage="1" errorStyle="stop" sqref="J41">
      <formula1>$X$13:$X$15</formula1>
      <formula2>0</formula2>
    </dataValidation>
    <dataValidation type="list" allowBlank="1" showInputMessage="1" prompt="לחץ לקבלת רשימת ערכים " showErrorMessage="1" errorStyle="stop" sqref="J42:J48">
      <formula1>$X$15:$X$17</formula1>
      <formula2>0</formula2>
    </dataValidation>
  </dataValidations>
  <pageMargins left="0.708333333333333" right="0.708333333333333" top="0.748611111111111" bottom="0.748611111111111" header="0.315277777777778" footer="0.315277777777778"/>
  <pageSetup paperSize="9" orientation="portrait" horizontalDpi="300" verticalDpi="300" scale="100" fitToWidth="1" fitToHeight="0" firstPageNumber="1" useFirstPageNumber="1" copies="1"/>
  <headerFooter>
    <oddHeader>&amp;L&amp;D</oddHead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5"/>
  <sheetViews>
    <sheetView workbookViewId="0" zoomScale="90" zoomScaleNormal="100" view="pageBreakPreview">
      <selection activeCell="H44" sqref="H44"/>
    </sheetView>
  </sheetViews>
  <sheetFormatPr defaultRowHeight="12.75" outlineLevelRow="0" outlineLevelCol="0" x14ac:dyDescent="0" defaultColWidth="9.13671875" customHeight="1"/>
  <cols>
    <col min="1" max="1" width="2.7" style="65" customWidth="1"/>
    <col min="2" max="2" width="8.56" style="65" customWidth="1"/>
    <col min="3" max="3" width="9.7" style="65" customWidth="1"/>
    <col min="4" max="4" width="11.99" style="65" customWidth="1"/>
    <col min="5" max="5" width="9.7" style="65" customWidth="1"/>
    <col min="6" max="6" width="5.28" style="65" customWidth="1"/>
    <col min="7" max="7" width="10.56" style="65" customWidth="1"/>
    <col min="8" max="8" width="8.85" style="65" customWidth="1"/>
    <col min="9" max="9" width="10.99" style="65" customWidth="1"/>
    <col min="10" max="10" width="8.41" style="65" customWidth="1"/>
    <col min="11" max="11" width="9.85" style="65" hidden="1" customWidth="1"/>
    <col min="12" max="12" width="9.7" style="65" hidden="1" customWidth="1"/>
    <col min="13" max="13" width="5.85" style="65" customWidth="1"/>
    <col min="14" max="14" width="5.28" style="65" customWidth="1"/>
    <col min="15" max="15" width="7.28" style="65" customWidth="1"/>
    <col min="16" max="16" width="7.56" style="65" hidden="1" customWidth="1"/>
    <col min="17" max="17" width="7.56" style="65" customWidth="1"/>
    <col min="18" max="18" width="7.99" style="65" customWidth="1"/>
    <col min="19" max="19" width="7.56" style="65" customWidth="1"/>
    <col min="20" max="22" width="9.06" style="65" hidden="1" customWidth="1"/>
    <col min="23" max="23" width="10.28" style="65" hidden="1" customWidth="1"/>
    <col min="24" max="24" width="9.06" style="65" hidden="1" customWidth="1"/>
    <col min="25" max="25" width="13.85" style="65" customWidth="1"/>
    <col min="26" max="26" width="2.7" style="65" customWidth="1"/>
    <col min="27" max="28" width="9.14" style="65" customWidth="1"/>
    <col min="29" max="29" width="9.06" style="65" hidden="1" customWidth="1"/>
    <col min="30" max="257" width="9.14" style="65" customWidth="1"/>
  </cols>
  <sheetData>
    <row r="1" ht="18" customHeight="1" spans="1:257" x14ac:dyDescent="0.25">
      <c r="A1" s="66"/>
      <c r="B1" s="67" t="s">
        <v>35</v>
      </c>
      <c r="C1" s="68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</row>
    <row r="2" ht="13.5" customHeight="1" spans="1:257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  <c r="GT2" s="66"/>
      <c r="GU2" s="66"/>
      <c r="GV2" s="66"/>
      <c r="GW2" s="66"/>
      <c r="GX2" s="66"/>
      <c r="GY2" s="66"/>
      <c r="GZ2" s="66"/>
      <c r="HA2" s="66"/>
      <c r="HB2" s="66"/>
      <c r="HC2" s="66"/>
      <c r="HD2" s="66"/>
      <c r="HE2" s="66"/>
      <c r="HF2" s="66"/>
      <c r="HG2" s="66"/>
      <c r="HH2" s="66"/>
      <c r="HI2" s="66"/>
      <c r="HJ2" s="66"/>
      <c r="HK2" s="66"/>
      <c r="HL2" s="66"/>
      <c r="HM2" s="66"/>
      <c r="HN2" s="66"/>
      <c r="HO2" s="66"/>
      <c r="HP2" s="66"/>
      <c r="HQ2" s="66"/>
      <c r="HR2" s="66"/>
      <c r="HS2" s="66"/>
      <c r="HT2" s="66"/>
      <c r="HU2" s="66"/>
      <c r="HV2" s="66"/>
      <c r="HW2" s="66"/>
      <c r="HX2" s="66"/>
      <c r="HY2" s="66"/>
      <c r="HZ2" s="66"/>
      <c r="IA2" s="66"/>
      <c r="IB2" s="66"/>
      <c r="IC2" s="66"/>
      <c r="ID2" s="66"/>
      <c r="IE2" s="66"/>
      <c r="IF2" s="66"/>
      <c r="IG2" s="66"/>
      <c r="IH2" s="66"/>
      <c r="II2" s="66"/>
      <c r="IJ2" s="66"/>
      <c r="IK2" s="66"/>
      <c r="IL2" s="66"/>
      <c r="IM2" s="66"/>
      <c r="IN2" s="66"/>
      <c r="IO2" s="66"/>
      <c r="IP2" s="66"/>
      <c r="IQ2" s="66"/>
      <c r="IR2" s="66"/>
      <c r="IS2" s="66"/>
      <c r="IT2" s="66"/>
      <c r="IU2" s="66"/>
      <c r="IV2" s="66"/>
      <c r="IW2" s="66"/>
    </row>
    <row r="3" ht="14.25" customHeight="1" spans="1:257" x14ac:dyDescent="0.25">
      <c r="A3" s="66"/>
      <c r="B3" s="70" t="s">
        <v>1</v>
      </c>
      <c r="C3" s="70"/>
      <c r="D3" s="71">
        <v>13</v>
      </c>
      <c r="E3" s="71"/>
      <c r="F3" s="71"/>
      <c r="G3" s="72" t="s">
        <v>2</v>
      </c>
      <c r="H3" s="73" t="s">
        <v>3</v>
      </c>
      <c r="I3" s="73"/>
      <c r="J3" s="73"/>
      <c r="K3" s="73"/>
      <c r="L3" s="73"/>
      <c r="M3" s="73"/>
      <c r="N3" s="74"/>
      <c r="O3" s="74"/>
      <c r="P3" s="75"/>
      <c r="Q3" s="75"/>
      <c r="R3" s="76"/>
      <c r="S3" s="75"/>
      <c r="T3" s="77"/>
      <c r="U3" s="78"/>
      <c r="V3" s="79"/>
      <c r="W3" s="79"/>
      <c r="X3" s="79"/>
      <c r="Y3" s="80"/>
      <c r="Z3" s="81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/>
      <c r="FG3" s="66"/>
      <c r="FH3" s="66"/>
      <c r="FI3" s="66"/>
      <c r="FJ3" s="66"/>
      <c r="FK3" s="66"/>
      <c r="FL3" s="66"/>
      <c r="FM3" s="66"/>
      <c r="FN3" s="66"/>
      <c r="FO3" s="66"/>
      <c r="FP3" s="66"/>
      <c r="FQ3" s="66"/>
      <c r="FR3" s="66"/>
      <c r="FS3" s="66"/>
      <c r="FT3" s="6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6"/>
      <c r="GL3" s="66"/>
      <c r="GM3" s="66"/>
      <c r="GN3" s="66"/>
      <c r="GO3" s="66"/>
      <c r="GP3" s="66"/>
      <c r="GQ3" s="66"/>
      <c r="GR3" s="66"/>
      <c r="GS3" s="66"/>
      <c r="GT3" s="66"/>
      <c r="GU3" s="66"/>
      <c r="GV3" s="66"/>
      <c r="GW3" s="66"/>
      <c r="GX3" s="66"/>
      <c r="GY3" s="66"/>
      <c r="GZ3" s="66"/>
      <c r="HA3" s="66"/>
      <c r="HB3" s="66"/>
      <c r="HC3" s="66"/>
      <c r="HD3" s="66"/>
      <c r="HE3" s="66"/>
      <c r="HF3" s="66"/>
      <c r="HG3" s="66"/>
      <c r="HH3" s="66"/>
      <c r="HI3" s="66"/>
      <c r="HJ3" s="66"/>
      <c r="HK3" s="66"/>
      <c r="HL3" s="66"/>
      <c r="HM3" s="66"/>
      <c r="HN3" s="66"/>
      <c r="HO3" s="66"/>
      <c r="HP3" s="66"/>
      <c r="HQ3" s="66"/>
      <c r="HR3" s="66"/>
      <c r="HS3" s="66"/>
      <c r="HT3" s="66"/>
      <c r="HU3" s="66"/>
      <c r="HV3" s="66"/>
      <c r="HW3" s="66"/>
      <c r="HX3" s="66"/>
      <c r="HY3" s="66"/>
      <c r="HZ3" s="66"/>
      <c r="IA3" s="66"/>
      <c r="IB3" s="66"/>
      <c r="IC3" s="66"/>
      <c r="ID3" s="66"/>
      <c r="IE3" s="66"/>
      <c r="IF3" s="66"/>
      <c r="IG3" s="66"/>
      <c r="IH3" s="66"/>
      <c r="II3" s="66"/>
      <c r="IJ3" s="66"/>
      <c r="IK3" s="66"/>
      <c r="IL3" s="66"/>
      <c r="IM3" s="66"/>
      <c r="IN3" s="66"/>
      <c r="IO3" s="66"/>
      <c r="IP3" s="66"/>
      <c r="IQ3" s="66"/>
      <c r="IR3" s="66"/>
      <c r="IS3" s="66"/>
      <c r="IT3" s="66"/>
      <c r="IU3" s="66"/>
      <c r="IV3" s="66"/>
      <c r="IW3" s="66"/>
    </row>
    <row r="4" ht="14.25" customHeight="1" spans="1:257" x14ac:dyDescent="0.25">
      <c r="A4" s="66"/>
      <c r="B4" s="82" t="s">
        <v>4</v>
      </c>
      <c r="C4" s="82"/>
      <c r="D4" s="83" t="s">
        <v>5</v>
      </c>
      <c r="E4" s="83"/>
      <c r="F4" s="83"/>
      <c r="G4" s="84" t="s">
        <v>6</v>
      </c>
      <c r="H4" s="17" t="s">
        <v>7</v>
      </c>
      <c r="I4" s="17"/>
      <c r="J4" s="17"/>
      <c r="K4" s="17"/>
      <c r="L4" s="17"/>
      <c r="M4" s="17"/>
      <c r="N4" s="85" t="s">
        <v>8</v>
      </c>
      <c r="O4" s="85"/>
      <c r="P4" s="85"/>
      <c r="Q4" s="85"/>
      <c r="R4" s="86">
        <v>43148</v>
      </c>
      <c r="S4" s="86"/>
      <c r="T4" s="87"/>
      <c r="U4" s="87"/>
      <c r="V4" s="88"/>
      <c r="W4" s="88"/>
      <c r="X4" s="88"/>
      <c r="Y4" s="89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66"/>
      <c r="DZ4" s="66"/>
      <c r="EA4" s="66"/>
      <c r="EB4" s="66"/>
      <c r="EC4" s="66"/>
      <c r="ED4" s="66"/>
      <c r="EE4" s="66"/>
      <c r="EF4" s="66"/>
      <c r="EG4" s="66"/>
      <c r="EH4" s="66"/>
      <c r="EI4" s="66"/>
      <c r="EJ4" s="66"/>
      <c r="EK4" s="66"/>
      <c r="EL4" s="66"/>
      <c r="EM4" s="66"/>
      <c r="EN4" s="66"/>
      <c r="EO4" s="66"/>
      <c r="EP4" s="66"/>
      <c r="EQ4" s="66"/>
      <c r="ER4" s="66"/>
      <c r="ES4" s="66"/>
      <c r="ET4" s="66"/>
      <c r="EU4" s="66"/>
      <c r="EV4" s="66"/>
      <c r="EW4" s="66"/>
      <c r="EX4" s="66"/>
      <c r="EY4" s="66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  <c r="HE4" s="66"/>
      <c r="HF4" s="66"/>
      <c r="HG4" s="66"/>
      <c r="HH4" s="66"/>
      <c r="HI4" s="66"/>
      <c r="HJ4" s="66"/>
      <c r="HK4" s="66"/>
      <c r="HL4" s="66"/>
      <c r="HM4" s="66"/>
      <c r="HN4" s="66"/>
      <c r="HO4" s="66"/>
      <c r="HP4" s="66"/>
      <c r="HQ4" s="66"/>
      <c r="HR4" s="66"/>
      <c r="HS4" s="66"/>
      <c r="HT4" s="66"/>
      <c r="HU4" s="66"/>
      <c r="HV4" s="66"/>
      <c r="HW4" s="66"/>
      <c r="HX4" s="66"/>
      <c r="HY4" s="66"/>
      <c r="HZ4" s="66"/>
      <c r="IA4" s="66"/>
      <c r="IB4" s="66"/>
      <c r="IC4" s="66"/>
      <c r="ID4" s="66"/>
      <c r="IE4" s="66"/>
      <c r="IF4" s="66"/>
      <c r="IG4" s="66"/>
      <c r="IH4" s="66"/>
      <c r="II4" s="66"/>
      <c r="IJ4" s="66"/>
      <c r="IK4" s="66"/>
      <c r="IL4" s="66"/>
      <c r="IM4" s="66"/>
      <c r="IN4" s="66"/>
      <c r="IO4" s="66"/>
      <c r="IP4" s="66"/>
      <c r="IQ4" s="66"/>
      <c r="IR4" s="66"/>
      <c r="IS4" s="66"/>
      <c r="IT4" s="66"/>
      <c r="IU4" s="66"/>
      <c r="IV4" s="66"/>
      <c r="IW4" s="66"/>
    </row>
    <row r="5" ht="14.25" customHeight="1" spans="1:257" x14ac:dyDescent="0.25">
      <c r="A5" s="66"/>
      <c r="B5" s="90" t="s">
        <v>9</v>
      </c>
      <c r="C5" s="90"/>
      <c r="D5" s="90"/>
      <c r="E5" s="90"/>
      <c r="F5" s="90"/>
      <c r="G5" s="90"/>
      <c r="H5" s="90"/>
      <c r="I5" s="91">
        <v>4</v>
      </c>
      <c r="J5" s="92" t="s">
        <v>10</v>
      </c>
      <c r="K5" s="92"/>
      <c r="L5" s="92"/>
      <c r="M5" s="93" t="s">
        <v>36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6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6"/>
      <c r="FM5" s="66"/>
      <c r="FN5" s="66"/>
      <c r="FO5" s="66"/>
      <c r="FP5" s="66"/>
      <c r="FQ5" s="66"/>
      <c r="FR5" s="66"/>
      <c r="FS5" s="66"/>
      <c r="FT5" s="66"/>
      <c r="FU5" s="66"/>
      <c r="FV5" s="66"/>
      <c r="FW5" s="66"/>
      <c r="FX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  <c r="HE5" s="66"/>
      <c r="HF5" s="66"/>
      <c r="HG5" s="66"/>
      <c r="HH5" s="66"/>
      <c r="HI5" s="66"/>
      <c r="HJ5" s="66"/>
      <c r="HK5" s="66"/>
      <c r="HL5" s="66"/>
      <c r="HM5" s="66"/>
      <c r="HN5" s="66"/>
      <c r="HO5" s="66"/>
      <c r="HP5" s="66"/>
      <c r="HQ5" s="66"/>
      <c r="HR5" s="66"/>
      <c r="HS5" s="66"/>
      <c r="HT5" s="66"/>
      <c r="HU5" s="66"/>
      <c r="HV5" s="66"/>
      <c r="HW5" s="66"/>
      <c r="HX5" s="66"/>
      <c r="HY5" s="66"/>
      <c r="HZ5" s="66"/>
      <c r="IA5" s="66"/>
      <c r="IB5" s="66"/>
      <c r="IC5" s="66"/>
      <c r="ID5" s="66"/>
      <c r="IE5" s="66"/>
      <c r="IF5" s="66"/>
      <c r="IG5" s="66"/>
      <c r="IH5" s="66"/>
      <c r="II5" s="66"/>
      <c r="IJ5" s="66"/>
      <c r="IK5" s="66"/>
      <c r="IL5" s="66"/>
      <c r="IM5" s="66"/>
      <c r="IN5" s="66"/>
      <c r="IO5" s="66"/>
      <c r="IP5" s="66"/>
      <c r="IQ5" s="66"/>
      <c r="IR5" s="66"/>
      <c r="IS5" s="66"/>
      <c r="IT5" s="66"/>
      <c r="IU5" s="66"/>
      <c r="IV5" s="66"/>
      <c r="IW5" s="66"/>
    </row>
    <row r="6" ht="13.5" customHeight="1" hidden="1" spans="1:257" x14ac:dyDescent="0.25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</row>
    <row r="7" ht="14.25" customHeight="1" hidden="1" spans="2:25" x14ac:dyDescent="0.25">
      <c r="B7" s="94" t="s">
        <v>12</v>
      </c>
      <c r="C7" s="94"/>
      <c r="D7" s="94"/>
      <c r="E7" s="95">
        <v>1</v>
      </c>
      <c r="F7" s="95"/>
      <c r="G7" s="96" t="s">
        <v>13</v>
      </c>
      <c r="H7" s="95">
        <f>I5</f>
        <v>4</v>
      </c>
      <c r="I7" s="97" t="s">
        <v>14</v>
      </c>
      <c r="J7" s="95"/>
      <c r="K7" s="98"/>
      <c r="L7" s="98"/>
      <c r="M7" s="99" t="s">
        <v>15</v>
      </c>
      <c r="N7" s="99"/>
      <c r="O7" s="95"/>
      <c r="P7" s="95"/>
      <c r="Q7" s="100"/>
      <c r="R7" s="99" t="s">
        <v>16</v>
      </c>
      <c r="S7" s="99"/>
      <c r="T7" s="98"/>
      <c r="U7" s="98"/>
      <c r="V7" s="98"/>
      <c r="W7" s="98"/>
      <c r="X7" s="98"/>
      <c r="Y7" s="101">
        <f>O7*J7</f>
        <v>0</v>
      </c>
    </row>
    <row r="8" ht="14.25" customHeight="1" spans="1:25" x14ac:dyDescent="0.25">
      <c r="A8" s="65"/>
      <c r="B8" s="102"/>
      <c r="C8" s="103"/>
      <c r="D8" s="104"/>
      <c r="E8" s="105"/>
      <c r="F8" s="105"/>
      <c r="G8" s="106"/>
      <c r="H8" s="105"/>
      <c r="I8" s="107"/>
      <c r="J8" s="105"/>
      <c r="K8" s="65"/>
      <c r="L8" s="65"/>
      <c r="M8" s="65"/>
      <c r="N8" s="65"/>
      <c r="O8" s="105"/>
      <c r="P8" s="105"/>
      <c r="Q8" s="105"/>
      <c r="R8" s="65"/>
      <c r="S8" s="65"/>
      <c r="T8" s="65"/>
      <c r="U8" s="65"/>
      <c r="V8" s="65"/>
      <c r="W8" s="65"/>
      <c r="X8" s="65"/>
      <c r="Y8" s="105"/>
    </row>
    <row r="9" ht="16.5" customHeight="1" spans="2:25" x14ac:dyDescent="0.25">
      <c r="B9" s="108" t="s">
        <v>37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</row>
    <row r="10" ht="13.5" customHeight="1" spans="8:8" x14ac:dyDescent="0.25">
      <c r="H10" s="109"/>
    </row>
    <row r="11" ht="38.25" customHeight="1" spans="2:29" x14ac:dyDescent="0.25">
      <c r="B11" s="110" t="s">
        <v>38</v>
      </c>
      <c r="C11" s="111" t="s">
        <v>39</v>
      </c>
      <c r="D11" s="111"/>
      <c r="E11" s="112" t="s">
        <v>40</v>
      </c>
      <c r="F11" s="112" t="s">
        <v>41</v>
      </c>
      <c r="G11" s="112"/>
      <c r="H11" s="113" t="s">
        <v>42</v>
      </c>
      <c r="I11" s="111" t="s">
        <v>43</v>
      </c>
      <c r="J11" s="111" t="s">
        <v>44</v>
      </c>
      <c r="K11" s="114" t="s">
        <v>45</v>
      </c>
      <c r="L11" s="114" t="s">
        <v>46</v>
      </c>
      <c r="M11" s="111" t="s">
        <v>47</v>
      </c>
      <c r="N11" s="115" t="s">
        <v>48</v>
      </c>
      <c r="O11" s="115"/>
      <c r="P11" s="114" t="s">
        <v>49</v>
      </c>
      <c r="Q11" s="111" t="s">
        <v>50</v>
      </c>
      <c r="R11" s="111" t="s">
        <v>51</v>
      </c>
      <c r="S11" s="111" t="s">
        <v>52</v>
      </c>
      <c r="T11" s="116"/>
      <c r="U11" s="117"/>
      <c r="V11" s="117"/>
      <c r="W11" s="117"/>
      <c r="X11" s="117"/>
      <c r="Y11" s="118" t="s">
        <v>53</v>
      </c>
      <c r="AC11" s="119">
        <v>1</v>
      </c>
    </row>
    <row r="12" ht="41.25" customHeight="1" spans="2:29" x14ac:dyDescent="0.25">
      <c r="B12" s="120"/>
      <c r="C12" s="121"/>
      <c r="D12" s="121"/>
      <c r="E12" s="122"/>
      <c r="F12" s="123" t="s">
        <v>54</v>
      </c>
      <c r="G12" s="123"/>
      <c r="H12" s="124" t="s">
        <v>55</v>
      </c>
      <c r="I12" s="122" t="s">
        <v>56</v>
      </c>
      <c r="J12" s="122" t="s">
        <v>57</v>
      </c>
      <c r="K12" s="122" t="s">
        <v>58</v>
      </c>
      <c r="L12" s="122" t="s">
        <v>59</v>
      </c>
      <c r="M12" s="125" t="s">
        <v>60</v>
      </c>
      <c r="N12" s="126" t="s">
        <v>61</v>
      </c>
      <c r="O12" s="126"/>
      <c r="P12" s="122" t="s">
        <v>62</v>
      </c>
      <c r="Q12" s="122" t="s">
        <v>63</v>
      </c>
      <c r="R12" s="122" t="s">
        <v>64</v>
      </c>
      <c r="S12" s="122" t="s">
        <v>65</v>
      </c>
      <c r="T12" s="122" t="s">
        <v>66</v>
      </c>
      <c r="U12" s="122" t="s">
        <v>67</v>
      </c>
      <c r="V12" s="127" t="s">
        <v>68</v>
      </c>
      <c r="W12" s="122" t="s">
        <v>69</v>
      </c>
      <c r="X12" s="128" t="s">
        <v>70</v>
      </c>
      <c r="Y12" s="129"/>
      <c r="AC12" s="119">
        <v>2</v>
      </c>
    </row>
    <row r="13" ht="27" customHeight="1" spans="2:29" x14ac:dyDescent="0.25">
      <c r="B13" s="130">
        <v>1016</v>
      </c>
      <c r="C13" s="131" t="s">
        <v>71</v>
      </c>
      <c r="D13" s="131"/>
      <c r="E13" s="132" t="s">
        <v>72</v>
      </c>
      <c r="F13" s="133" t="s">
        <v>73</v>
      </c>
      <c r="G13" s="133"/>
      <c r="H13" s="134" t="s">
        <v>138</v>
      </c>
      <c r="I13" s="135">
        <v>2</v>
      </c>
      <c r="J13" s="136" t="s">
        <v>75</v>
      </c>
      <c r="K13" s="137">
        <f>IF(J13="E",0.7,IF(J13="D",0.3,IF(J13="C",0.1,0)))</f>
        <v>0</v>
      </c>
      <c r="L13" s="137">
        <f>IF(I13="רכיב לא קיים",0,I13)</f>
        <v>2</v>
      </c>
      <c r="M13" s="138">
        <f>IF(L13=5,5,K13+L13)</f>
        <v>2</v>
      </c>
      <c r="N13" s="136"/>
      <c r="O13" s="136"/>
      <c r="P13" s="137">
        <f>IF(S13=2,0,IF(S13=1.5,0.3-((M13-1)*0.3/4),IF(S13=1.2,0.6-((M13-1)*0.6/4),1.2-((M13-1)*1.2/4))))</f>
        <v>0</v>
      </c>
      <c r="Q13" s="132">
        <f>IF(M13&gt;0,P13,0)</f>
        <v>0</v>
      </c>
      <c r="R13" s="132">
        <f>IF(M13=0,0,IF(M13-Q13&gt;=1,M13-Q13,1))</f>
        <v>2</v>
      </c>
      <c r="S13" s="132">
        <v>2</v>
      </c>
      <c r="T13" s="139">
        <f>IF(M13&gt;0,S13,0)</f>
        <v>2</v>
      </c>
      <c r="U13" s="139">
        <f>IF(M13&gt;0,S13*R13,0)</f>
        <v>4</v>
      </c>
      <c r="V13" s="140">
        <f>IF(S13=2,R13,0)</f>
        <v>2</v>
      </c>
      <c r="W13" s="137" t="s">
        <v>76</v>
      </c>
      <c r="X13" s="140" t="s">
        <v>77</v>
      </c>
      <c r="Y13" s="141"/>
      <c r="AC13" s="119">
        <v>3</v>
      </c>
    </row>
    <row r="14" ht="27" customHeight="1" spans="2:29" x14ac:dyDescent="0.25">
      <c r="B14" s="142">
        <v>1002</v>
      </c>
      <c r="C14" s="143" t="s">
        <v>78</v>
      </c>
      <c r="D14" s="143"/>
      <c r="E14" s="138" t="s">
        <v>72</v>
      </c>
      <c r="F14" s="144"/>
      <c r="G14" s="144"/>
      <c r="H14" s="145" t="s">
        <v>74</v>
      </c>
      <c r="I14" s="146">
        <v>2</v>
      </c>
      <c r="J14" s="144" t="s">
        <v>75</v>
      </c>
      <c r="K14" s="147">
        <f>IF(J14="E",0.7,IF(J14="D",0.3,IF(J14="C",0.1,0)))</f>
        <v>0</v>
      </c>
      <c r="L14" s="147">
        <f>IF(I14="רכיב לא קיים",0,I14)</f>
        <v>2</v>
      </c>
      <c r="M14" s="138">
        <f>IF(L14=5,5,K14+L14)</f>
        <v>2</v>
      </c>
      <c r="N14" s="144"/>
      <c r="O14" s="144"/>
      <c r="P14" s="137">
        <f>IF(S14=2,0,IF(S14=1.5,0.3-((M14-1)*0.3/4),IF(S14=1.2,0.6-((M14-1)*0.6/4),1.2-((M14-1)*1.2/4))))</f>
        <v>0</v>
      </c>
      <c r="Q14" s="132">
        <f>IF(M14&gt;0,P14,0)</f>
        <v>0</v>
      </c>
      <c r="R14" s="132">
        <f>IF(M14=0,0,IF(M14-Q14&gt;=1,M14-Q14,1))</f>
        <v>2</v>
      </c>
      <c r="S14" s="138">
        <v>2</v>
      </c>
      <c r="T14" s="139">
        <f>IF(M14&gt;0,S14,0)</f>
        <v>2</v>
      </c>
      <c r="U14" s="139">
        <f>IF(M14&gt;0,S14*R14,0)</f>
        <v>4</v>
      </c>
      <c r="V14" s="140">
        <f>IF(S14=2,R14,0)</f>
        <v>2</v>
      </c>
      <c r="W14" s="147">
        <v>1</v>
      </c>
      <c r="X14" s="148" t="s">
        <v>75</v>
      </c>
      <c r="Y14" s="149"/>
      <c r="AC14" s="119">
        <v>4</v>
      </c>
    </row>
    <row r="15" ht="27" customHeight="1" spans="2:29" x14ac:dyDescent="0.25">
      <c r="B15" s="142">
        <v>1011</v>
      </c>
      <c r="C15" s="143" t="s">
        <v>79</v>
      </c>
      <c r="D15" s="143"/>
      <c r="E15" s="138" t="s">
        <v>72</v>
      </c>
      <c r="F15" s="144"/>
      <c r="G15" s="144"/>
      <c r="H15" s="145" t="s">
        <v>80</v>
      </c>
      <c r="I15" s="146">
        <v>2</v>
      </c>
      <c r="J15" s="144" t="s">
        <v>75</v>
      </c>
      <c r="K15" s="147">
        <f>IF(J15="E",0.7,IF(J15="D",0.3,IF(J15="C",0.1,0)))</f>
        <v>0</v>
      </c>
      <c r="L15" s="147">
        <f>IF(I15="רכיב לא קיים",0,I15)</f>
        <v>2</v>
      </c>
      <c r="M15" s="138">
        <f>IF(L15=5,5,K15+L15)</f>
        <v>2</v>
      </c>
      <c r="N15" s="144"/>
      <c r="O15" s="144"/>
      <c r="P15" s="137">
        <f>IF(S15=2,0,IF(S15=1.5,0.3-((M15-1)*0.3/4),IF(S15=1.2,0.6-((M15-1)*0.6/4),1.2-((M15-1)*1.2/4))))</f>
        <v>0</v>
      </c>
      <c r="Q15" s="132">
        <f>IF(M15&gt;0,P15,0)</f>
        <v>0</v>
      </c>
      <c r="R15" s="132">
        <f>IF(M15=0,0,IF(M15-Q15&gt;=1,M15-Q15,1))</f>
        <v>2</v>
      </c>
      <c r="S15" s="138">
        <v>2</v>
      </c>
      <c r="T15" s="139">
        <f>IF(M15&gt;0,S15,0)</f>
        <v>2</v>
      </c>
      <c r="U15" s="139">
        <f>IF(M15&gt;0,S15*R15,0)</f>
        <v>4</v>
      </c>
      <c r="V15" s="140">
        <f>IF(S15=2,R15,0)</f>
        <v>2</v>
      </c>
      <c r="W15" s="147">
        <v>2</v>
      </c>
      <c r="X15" s="148" t="s">
        <v>81</v>
      </c>
      <c r="Y15" s="149"/>
      <c r="AC15" s="119">
        <v>5</v>
      </c>
    </row>
    <row r="16" ht="27" customHeight="1" spans="2:29" x14ac:dyDescent="0.25">
      <c r="B16" s="142">
        <v>1004</v>
      </c>
      <c r="C16" s="150" t="s">
        <v>82</v>
      </c>
      <c r="D16" s="150"/>
      <c r="E16" s="138" t="s">
        <v>72</v>
      </c>
      <c r="F16" s="144"/>
      <c r="G16" s="144"/>
      <c r="H16" s="151"/>
      <c r="I16" s="146"/>
      <c r="J16" s="144"/>
      <c r="K16" s="147">
        <f>IF(J16="E",0.7,IF(J16="D",0.3,IF(J16="C",0.1,0)))</f>
        <v>0</v>
      </c>
      <c r="L16" s="147">
        <f>IF(I16="רכיב לא קיים",0,I16)</f>
        <v>0</v>
      </c>
      <c r="M16" s="138">
        <f>IF(L16=5,5,K16+L16)</f>
        <v>0</v>
      </c>
      <c r="N16" s="144"/>
      <c r="O16" s="144"/>
      <c r="P16" s="137">
        <f>IF(S16=2,0,IF(S16=1.5,0.3-((M16-1)*0.3/4),IF(S16=1.2,0.6-((M16-1)*0.6/4),1.2-((M16-1)*1.2/4))))</f>
        <v>0</v>
      </c>
      <c r="Q16" s="132">
        <f>IF(M16&gt;0,P16,0)</f>
        <v>0</v>
      </c>
      <c r="R16" s="132">
        <f>IF(M16=0,0,IF(M16-Q16&gt;=1,M16-Q16,1))</f>
        <v>0</v>
      </c>
      <c r="S16" s="138">
        <v>2</v>
      </c>
      <c r="T16" s="139">
        <f>IF(M16&gt;0,S16,0)</f>
        <v>0</v>
      </c>
      <c r="U16" s="139">
        <f>IF(M16&gt;0,S16*R16,0)</f>
        <v>0</v>
      </c>
      <c r="V16" s="140">
        <f>IF(S16=2,R16,0)</f>
        <v>0</v>
      </c>
      <c r="W16" s="147">
        <v>3</v>
      </c>
      <c r="X16" s="148" t="s">
        <v>83</v>
      </c>
      <c r="Y16" s="149" t="s">
        <v>84</v>
      </c>
      <c r="AC16" s="119">
        <v>6</v>
      </c>
    </row>
    <row r="17" ht="27" customHeight="1" spans="2:29" x14ac:dyDescent="0.25">
      <c r="B17" s="142">
        <v>1005</v>
      </c>
      <c r="C17" s="143" t="s">
        <v>85</v>
      </c>
      <c r="D17" s="143"/>
      <c r="E17" s="138" t="s">
        <v>72</v>
      </c>
      <c r="F17" s="144"/>
      <c r="G17" s="144"/>
      <c r="H17" s="151"/>
      <c r="I17" s="146"/>
      <c r="J17" s="144"/>
      <c r="K17" s="147">
        <f>IF(J17="E",0.7,IF(J17="D",0.3,IF(J17="C",0.1,0)))</f>
        <v>0</v>
      </c>
      <c r="L17" s="147">
        <f>IF(I17="רכיב לא קיים",0,I17)</f>
        <v>0</v>
      </c>
      <c r="M17" s="138">
        <f>IF(L17=5,5,K17+L17)</f>
        <v>0</v>
      </c>
      <c r="N17" s="144"/>
      <c r="O17" s="144"/>
      <c r="P17" s="137">
        <f>IF(S17=2,0,IF(S17=1.5,0.3-((M17-1)*0.3/4),IF(S17=1.2,0.6-((M17-1)*0.6/4),1.2-((M17-1)*1.2/4))))</f>
        <v>0</v>
      </c>
      <c r="Q17" s="132">
        <f>IF(M17&gt;0,P17,0)</f>
        <v>0</v>
      </c>
      <c r="R17" s="132">
        <f>IF(M17=0,0,IF(M17-Q17&gt;=1,M17-Q17,1))</f>
        <v>0</v>
      </c>
      <c r="S17" s="138">
        <v>2</v>
      </c>
      <c r="T17" s="139">
        <f>IF(M17&gt;0,S17,0)</f>
        <v>0</v>
      </c>
      <c r="U17" s="139">
        <f>IF(M17&gt;0,S17*R17,0)</f>
        <v>0</v>
      </c>
      <c r="V17" s="140">
        <f>IF(S17=2,R17,0)</f>
        <v>0</v>
      </c>
      <c r="W17" s="147">
        <v>4</v>
      </c>
      <c r="X17" s="148" t="s">
        <v>86</v>
      </c>
      <c r="Y17" s="149" t="s">
        <v>84</v>
      </c>
      <c r="AC17" s="119">
        <v>7</v>
      </c>
    </row>
    <row r="18" ht="27" customHeight="1" spans="2:29" x14ac:dyDescent="0.25">
      <c r="B18" s="142">
        <v>1007</v>
      </c>
      <c r="C18" s="143" t="s">
        <v>87</v>
      </c>
      <c r="D18" s="143"/>
      <c r="E18" s="138" t="s">
        <v>72</v>
      </c>
      <c r="F18" s="144"/>
      <c r="G18" s="144"/>
      <c r="H18" s="151"/>
      <c r="I18" s="146"/>
      <c r="J18" s="144"/>
      <c r="K18" s="147">
        <f>IF(J18="E",0.7,IF(J18="D",0.3,IF(J18="C",0.1,0)))</f>
        <v>0</v>
      </c>
      <c r="L18" s="147">
        <f>IF(I18="רכיב לא קיים",0,I18)</f>
        <v>0</v>
      </c>
      <c r="M18" s="138">
        <f>IF(L18=5,5,K18+L18)</f>
        <v>0</v>
      </c>
      <c r="N18" s="144"/>
      <c r="O18" s="144"/>
      <c r="P18" s="137">
        <f>IF(S18=2,0,IF(S18=1.5,0.3-((M18-1)*0.3/4),IF(S18=1.2,0.6-((M18-1)*0.6/4),1.2-((M18-1)*1.2/4))))</f>
        <v>0</v>
      </c>
      <c r="Q18" s="132">
        <f>IF(M18&gt;0,P18,0)</f>
        <v>0</v>
      </c>
      <c r="R18" s="132">
        <f>IF(M18=0,0,IF(M18-Q18&gt;=1,M18-Q18,1))</f>
        <v>0</v>
      </c>
      <c r="S18" s="138">
        <v>2</v>
      </c>
      <c r="T18" s="139">
        <f>IF(M18&gt;0,S18,0)</f>
        <v>0</v>
      </c>
      <c r="U18" s="139">
        <f>IF(M18&gt;0,S18*R18,0)</f>
        <v>0</v>
      </c>
      <c r="V18" s="140">
        <f>IF(S18=2,R18,0)</f>
        <v>0</v>
      </c>
      <c r="W18" s="147">
        <v>4</v>
      </c>
      <c r="X18" s="148" t="s">
        <v>86</v>
      </c>
      <c r="Y18" s="149" t="s">
        <v>84</v>
      </c>
      <c r="AC18" s="119">
        <v>7</v>
      </c>
    </row>
    <row r="19" ht="27" customHeight="1" spans="2:29" x14ac:dyDescent="0.25">
      <c r="B19" s="142">
        <v>1006</v>
      </c>
      <c r="C19" s="150" t="s">
        <v>88</v>
      </c>
      <c r="D19" s="150"/>
      <c r="E19" s="138" t="s">
        <v>72</v>
      </c>
      <c r="F19" s="144"/>
      <c r="G19" s="144"/>
      <c r="H19" s="145" t="s">
        <v>139</v>
      </c>
      <c r="I19" s="146">
        <v>3</v>
      </c>
      <c r="J19" s="144" t="s">
        <v>83</v>
      </c>
      <c r="K19" s="147">
        <f>IF(J19="E",0.7,IF(J19="D",0.3,IF(J19="C",0.1,0)))</f>
        <v>0.3</v>
      </c>
      <c r="L19" s="147">
        <f>IF(I19="רכיב לא קיים",0,I19)</f>
        <v>3</v>
      </c>
      <c r="M19" s="212">
        <f>IF(L19=5,5,K19+L19)</f>
        <v>3.3</v>
      </c>
      <c r="N19" s="144"/>
      <c r="O19" s="144"/>
      <c r="P19" s="137">
        <f>IF(S19=2,0,IF(S19=1.5,0.3-((M19-1)*0.3/4),IF(S19=1.2,0.6-((M19-1)*0.6/4),1.2-((M19-1)*1.2/4))))</f>
        <v>0</v>
      </c>
      <c r="Q19" s="132">
        <f>IF(M19&gt;0,P19,0)</f>
        <v>0</v>
      </c>
      <c r="R19" s="132">
        <f>IF(M19=0,0,IF(M19-Q19&gt;=1,M19-Q19,1))</f>
        <v>3.3</v>
      </c>
      <c r="S19" s="138">
        <v>2</v>
      </c>
      <c r="T19" s="139">
        <f>IF(M19&gt;0,S19,0)</f>
        <v>2</v>
      </c>
      <c r="U19" s="139">
        <f>IF(M19&gt;0,S19*R19,0)</f>
        <v>6.6</v>
      </c>
      <c r="V19" s="140">
        <f>IF(S19=2,R19,0)</f>
        <v>3.3</v>
      </c>
      <c r="W19" s="147">
        <v>5</v>
      </c>
      <c r="X19" s="148"/>
      <c r="Y19" s="149"/>
      <c r="AC19" s="119">
        <v>8</v>
      </c>
    </row>
    <row r="20" ht="27" customHeight="1" spans="2:29" x14ac:dyDescent="0.25">
      <c r="B20" s="142">
        <v>6008</v>
      </c>
      <c r="C20" s="150" t="s">
        <v>89</v>
      </c>
      <c r="D20" s="150"/>
      <c r="E20" s="138" t="s">
        <v>90</v>
      </c>
      <c r="F20" s="144"/>
      <c r="G20" s="144"/>
      <c r="H20" s="145"/>
      <c r="I20" s="146"/>
      <c r="J20" s="144"/>
      <c r="K20" s="147">
        <f>IF(J20="E",0.7,IF(J20="D",0.3,IF(J20="C",0.1,0)))</f>
        <v>0</v>
      </c>
      <c r="L20" s="147">
        <f>IF(I20="רכיב לא קיים",0,I20)</f>
        <v>0</v>
      </c>
      <c r="M20" s="138">
        <f>IF(L20=5,5,K20+L20)</f>
        <v>0</v>
      </c>
      <c r="N20" s="144"/>
      <c r="O20" s="144"/>
      <c r="P20" s="137">
        <f>IF(S20=2,0,IF(S20=1.5,0.3-((M20-1)*0.3/4),IF(S20=1.2,0.6-((M20-1)*0.6/4),1.2-((M20-1)*1.2/4))))</f>
        <v>0.375</v>
      </c>
      <c r="Q20" s="132">
        <f>IF(M20&gt;0,P20,0)</f>
        <v>0</v>
      </c>
      <c r="R20" s="132">
        <f>IF(M20=0,0,IF(M20-Q20&gt;=1,M20-Q20,1))</f>
        <v>0</v>
      </c>
      <c r="S20" s="138">
        <v>1.5</v>
      </c>
      <c r="T20" s="139">
        <f>IF(M20&gt;0,S20,0)</f>
        <v>0</v>
      </c>
      <c r="U20" s="139">
        <f>IF(M20&gt;0,S20*R20,0)</f>
        <v>0</v>
      </c>
      <c r="V20" s="140">
        <f>IF(S20=2,R20,0)</f>
        <v>0</v>
      </c>
      <c r="W20" s="65"/>
      <c r="X20" s="65"/>
      <c r="Y20" s="149"/>
      <c r="AC20" s="119">
        <v>9</v>
      </c>
    </row>
    <row r="21" ht="27" customHeight="1" spans="2:29" x14ac:dyDescent="0.25">
      <c r="B21" s="142">
        <v>2001</v>
      </c>
      <c r="C21" s="143" t="s">
        <v>91</v>
      </c>
      <c r="D21" s="143"/>
      <c r="E21" s="138" t="s">
        <v>90</v>
      </c>
      <c r="F21" s="144"/>
      <c r="G21" s="144"/>
      <c r="H21" s="151"/>
      <c r="I21" s="146"/>
      <c r="J21" s="144"/>
      <c r="K21" s="147">
        <f>IF(J21="E",0.7,IF(J21="D",0.3,IF(J21="C",0.1,0)))</f>
        <v>0</v>
      </c>
      <c r="L21" s="147">
        <f>IF(I21="רכיב לא קיים",0,I21)</f>
        <v>0</v>
      </c>
      <c r="M21" s="138">
        <f>IF(L21=5,5,K21+L21)</f>
        <v>0</v>
      </c>
      <c r="N21" s="144"/>
      <c r="O21" s="144"/>
      <c r="P21" s="137">
        <f>IF(S21=2,0,IF(S21=1.5,0.3-((M21-1)*0.3/4),IF(S21=1.2,0.6-((M21-1)*0.6/4),1.2-((M21-1)*1.2/4))))</f>
        <v>0.375</v>
      </c>
      <c r="Q21" s="132">
        <f>IF(M21&gt;0,P21,0)</f>
        <v>0</v>
      </c>
      <c r="R21" s="132">
        <f>IF(M21=0,0,IF(M21-Q21&gt;=1,M21-Q21,1))</f>
        <v>0</v>
      </c>
      <c r="S21" s="138">
        <v>1.5</v>
      </c>
      <c r="T21" s="139">
        <f>IF(M21&gt;0,S21,0)</f>
        <v>0</v>
      </c>
      <c r="U21" s="139">
        <f>IF(M21&gt;0,S21*R21,0)</f>
        <v>0</v>
      </c>
      <c r="V21" s="140">
        <f>IF(S21=2,R21,0)</f>
        <v>0</v>
      </c>
      <c r="W21" s="65"/>
      <c r="X21" s="65"/>
      <c r="Y21" s="152" t="s">
        <v>92</v>
      </c>
      <c r="AC21" s="119">
        <v>10</v>
      </c>
    </row>
    <row r="22" ht="27" customHeight="1" spans="2:25" x14ac:dyDescent="0.25">
      <c r="B22" s="142">
        <v>2002</v>
      </c>
      <c r="C22" s="143" t="s">
        <v>93</v>
      </c>
      <c r="D22" s="143"/>
      <c r="E22" s="138" t="s">
        <v>90</v>
      </c>
      <c r="F22" s="144"/>
      <c r="G22" s="144"/>
      <c r="H22" s="145"/>
      <c r="I22" s="146"/>
      <c r="J22" s="144"/>
      <c r="K22" s="147">
        <f>IF(J22="E",0.7,IF(J22="D",0.3,IF(J22="C",0.1,0)))</f>
        <v>0</v>
      </c>
      <c r="L22" s="147">
        <f>IF(I22="רכיב לא קיים",0,I22)</f>
        <v>0</v>
      </c>
      <c r="M22" s="138">
        <f>IF(L22=5,5,K22+L22)</f>
        <v>0</v>
      </c>
      <c r="N22" s="144"/>
      <c r="O22" s="144"/>
      <c r="P22" s="137">
        <f>IF(S22=2,0,IF(S22=1.5,0.3-((M22-1)*0.3/4),IF(S22=1.2,0.6-((M22-1)*0.6/4),1.2-((M22-1)*1.2/4))))</f>
        <v>0.375</v>
      </c>
      <c r="Q22" s="132">
        <f>IF(M22&gt;0,P22,0)</f>
        <v>0</v>
      </c>
      <c r="R22" s="132">
        <f>IF(M22=0,0,IF(M22-Q22&gt;=1,M22-Q22,1))</f>
        <v>0</v>
      </c>
      <c r="S22" s="138">
        <v>1.5</v>
      </c>
      <c r="T22" s="139">
        <f>IF(M22&gt;0,S22,0)</f>
        <v>0</v>
      </c>
      <c r="U22" s="139">
        <f>IF(M22&gt;0,S22*R22,0)</f>
        <v>0</v>
      </c>
      <c r="V22" s="140">
        <f>IF(S22=2,R22,0)</f>
        <v>0</v>
      </c>
      <c r="W22" s="65"/>
      <c r="X22" s="65"/>
      <c r="Y22" s="149" t="s">
        <v>84</v>
      </c>
    </row>
    <row r="23" ht="27" customHeight="1" spans="2:25" x14ac:dyDescent="0.25">
      <c r="B23" s="142">
        <v>2003</v>
      </c>
      <c r="C23" s="150" t="s">
        <v>95</v>
      </c>
      <c r="D23" s="150"/>
      <c r="E23" s="138" t="s">
        <v>90</v>
      </c>
      <c r="F23" s="144"/>
      <c r="G23" s="144"/>
      <c r="H23" s="151"/>
      <c r="I23" s="146"/>
      <c r="J23" s="144"/>
      <c r="K23" s="147">
        <f>IF(J23="E",0.7,IF(J23="D",0.3,IF(J23="C",0.1,0)))</f>
        <v>0</v>
      </c>
      <c r="L23" s="147">
        <f>IF(I23="רכיב לא קיים",0,I23)</f>
        <v>0</v>
      </c>
      <c r="M23" s="138">
        <f>IF(L23=5,5,K23+L23)</f>
        <v>0</v>
      </c>
      <c r="N23" s="144"/>
      <c r="O23" s="144"/>
      <c r="P23" s="137">
        <f>IF(S23=2,0,IF(S23=1.5,0.3-((M23-1)*0.3/4),IF(S23=1.2,0.6-((M23-1)*0.6/4),1.2-((M23-1)*1.2/4))))</f>
        <v>0.375</v>
      </c>
      <c r="Q23" s="132">
        <f>IF(M23&gt;0,P23,0)</f>
        <v>0</v>
      </c>
      <c r="R23" s="132">
        <f>IF(M23=0,0,IF(M23-Q23&gt;=1,M23-Q23,1))</f>
        <v>0</v>
      </c>
      <c r="S23" s="138">
        <v>1.5</v>
      </c>
      <c r="T23" s="139">
        <f>IF(M23&gt;0,S23,0)</f>
        <v>0</v>
      </c>
      <c r="U23" s="139">
        <f>IF(M23&gt;0,S23*R23,0)</f>
        <v>0</v>
      </c>
      <c r="V23" s="140">
        <f>IF(S23=2,R23,0)</f>
        <v>0</v>
      </c>
      <c r="W23" s="65"/>
      <c r="X23" s="65"/>
      <c r="Y23" s="149" t="s">
        <v>84</v>
      </c>
    </row>
    <row r="24" ht="27" customHeight="1" spans="2:25" x14ac:dyDescent="0.25">
      <c r="B24" s="142">
        <v>2004</v>
      </c>
      <c r="C24" s="143" t="s">
        <v>96</v>
      </c>
      <c r="D24" s="143"/>
      <c r="E24" s="138" t="s">
        <v>72</v>
      </c>
      <c r="F24" s="144"/>
      <c r="G24" s="144"/>
      <c r="H24" s="145" t="s">
        <v>140</v>
      </c>
      <c r="I24" s="146">
        <v>2</v>
      </c>
      <c r="J24" s="144" t="s">
        <v>75</v>
      </c>
      <c r="K24" s="147">
        <f>IF(J24="E",0.7,IF(J24="D",0.3,IF(J24="C",0.1,0)))</f>
        <v>0</v>
      </c>
      <c r="L24" s="147">
        <f>IF(I24="רכיב לא קיים",0,I24)</f>
        <v>2</v>
      </c>
      <c r="M24" s="138">
        <f>IF(L24=5,5,K24+L24)</f>
        <v>2</v>
      </c>
      <c r="N24" s="144"/>
      <c r="O24" s="144"/>
      <c r="P24" s="147">
        <f>IF(S24=2,0,IF(S24=1.5,0.3-((M24-1)*0.3/4),IF(S24=1.2,0.6-((M24-1)*0.6/4),1.2-((M24-1)*1.2/4))))</f>
        <v>0</v>
      </c>
      <c r="Q24" s="132">
        <f>IF(M24&gt;0,P24,0)</f>
        <v>0</v>
      </c>
      <c r="R24" s="132">
        <f>IF(M24=0,0,IF(M24-Q24&gt;=1,M24-Q24,1))</f>
        <v>2</v>
      </c>
      <c r="S24" s="138">
        <v>2</v>
      </c>
      <c r="T24" s="139">
        <f>IF(M24&gt;0,S24,0)</f>
        <v>2</v>
      </c>
      <c r="U24" s="139">
        <f>IF(M24&gt;0,S24*R24,0)</f>
        <v>4</v>
      </c>
      <c r="V24" s="140">
        <f>IF(S24=2,R24,0)</f>
        <v>2</v>
      </c>
      <c r="W24" s="65"/>
      <c r="X24" s="65"/>
      <c r="Y24" s="149"/>
    </row>
    <row r="25" ht="27" customHeight="1" spans="2:25" x14ac:dyDescent="0.25">
      <c r="B25" s="142">
        <v>2005</v>
      </c>
      <c r="C25" s="150" t="s">
        <v>97</v>
      </c>
      <c r="D25" s="150"/>
      <c r="E25" s="138" t="s">
        <v>72</v>
      </c>
      <c r="F25" s="144"/>
      <c r="G25" s="144"/>
      <c r="H25" s="145" t="s">
        <v>140</v>
      </c>
      <c r="I25" s="146">
        <v>2</v>
      </c>
      <c r="J25" s="144" t="s">
        <v>81</v>
      </c>
      <c r="K25" s="147">
        <f>IF(J25="E",0.7,IF(J25="D",0.3,IF(J25="C",0.1,0)))</f>
        <v>0.1</v>
      </c>
      <c r="L25" s="147">
        <f>IF(I25="רכיב לא קיים",0,I25)</f>
        <v>2</v>
      </c>
      <c r="M25" s="138">
        <f>IF(L25=5,5,K25+L25)</f>
        <v>2.1</v>
      </c>
      <c r="N25" s="144"/>
      <c r="O25" s="144"/>
      <c r="P25" s="147">
        <f>IF(S25=2,0,IF(S25=1.5,0.3-((M25-1)*0.3/4),IF(S25=1.2,0.6-((M25-1)*0.6/4),1.2-((M25-1)*1.2/4))))</f>
        <v>0</v>
      </c>
      <c r="Q25" s="132">
        <f>IF(M25&gt;0,P25,0)</f>
        <v>0</v>
      </c>
      <c r="R25" s="132">
        <f>IF(M25=0,0,IF(M25-Q25&gt;=1,M25-Q25,1))</f>
        <v>2.1</v>
      </c>
      <c r="S25" s="138">
        <v>2</v>
      </c>
      <c r="T25" s="139">
        <f>IF(M25&gt;0,S25,0)</f>
        <v>2</v>
      </c>
      <c r="U25" s="139">
        <f>IF(M25&gt;0,S25*R25,0)</f>
        <v>4.2</v>
      </c>
      <c r="V25" s="140">
        <f>IF(S25=2,R25,0)</f>
        <v>2.1</v>
      </c>
      <c r="W25" s="65"/>
      <c r="X25" s="65"/>
      <c r="Y25" s="149"/>
    </row>
    <row r="26" ht="27" customHeight="1" spans="2:25" x14ac:dyDescent="0.25">
      <c r="B26" s="142">
        <v>2006</v>
      </c>
      <c r="C26" s="150" t="s">
        <v>98</v>
      </c>
      <c r="D26" s="150"/>
      <c r="E26" s="138" t="s">
        <v>90</v>
      </c>
      <c r="F26" s="144"/>
      <c r="G26" s="144"/>
      <c r="H26" s="145"/>
      <c r="I26" s="146"/>
      <c r="J26" s="144"/>
      <c r="K26" s="147">
        <f>IF(J26="E",0.7,IF(J26="D",0.3,IF(J26="C",0.1,0)))</f>
        <v>0</v>
      </c>
      <c r="L26" s="147">
        <f>IF(I26="רכיב לא קיים",0,I26)</f>
        <v>0</v>
      </c>
      <c r="M26" s="138">
        <f>IF(L26=5,5,K26+L26)</f>
        <v>0</v>
      </c>
      <c r="N26" s="144"/>
      <c r="O26" s="144"/>
      <c r="P26" s="147">
        <f>IF(S26=2,0,IF(S26=1.5,0.3-((M26-1)*0.3/4),IF(S26=1.2,0.6-((M26-1)*0.6/4),1.2-((M26-1)*1.2/4))))</f>
        <v>0.375</v>
      </c>
      <c r="Q26" s="132">
        <f>IF(M26&gt;0,P26,0)</f>
        <v>0</v>
      </c>
      <c r="R26" s="132">
        <f>IF(M26=0,0,IF(M26-Q26&gt;=1,M26-Q26,1))</f>
        <v>0</v>
      </c>
      <c r="S26" s="138">
        <v>1.5</v>
      </c>
      <c r="T26" s="139">
        <f>IF(M26&gt;0,S26,0)</f>
        <v>0</v>
      </c>
      <c r="U26" s="139">
        <f>IF(M26&gt;0,S26*R26,0)</f>
        <v>0</v>
      </c>
      <c r="V26" s="140">
        <f>IF(S26=2,R26,0)</f>
        <v>0</v>
      </c>
      <c r="W26" s="65"/>
      <c r="X26" s="65"/>
      <c r="Y26" s="149"/>
    </row>
    <row r="27" ht="27" customHeight="1" spans="2:25" x14ac:dyDescent="0.25">
      <c r="B27" s="142">
        <v>2007</v>
      </c>
      <c r="C27" s="150" t="s">
        <v>99</v>
      </c>
      <c r="D27" s="150"/>
      <c r="E27" s="138" t="s">
        <v>90</v>
      </c>
      <c r="F27" s="144"/>
      <c r="G27" s="144"/>
      <c r="H27" s="151"/>
      <c r="I27" s="146"/>
      <c r="J27" s="144"/>
      <c r="K27" s="147">
        <f>IF(J27="E",0.7,IF(J27="D",0.3,IF(J27="C",0.1,0)))</f>
        <v>0</v>
      </c>
      <c r="L27" s="147">
        <f>IF(I27="רכיב לא קיים",0,I27)</f>
        <v>0</v>
      </c>
      <c r="M27" s="138">
        <f>IF(L27=5,5,K27+L27)</f>
        <v>0</v>
      </c>
      <c r="N27" s="144"/>
      <c r="O27" s="144"/>
      <c r="P27" s="147">
        <f>IF(S27=2,0,IF(S27=1.5,0.3-((M27-1)*0.3/4),IF(S27=1.2,0.6-((M27-1)*0.6/4),1.2-((M27-1)*1.2/4))))</f>
        <v>0.375</v>
      </c>
      <c r="Q27" s="132">
        <f>IF(M27&gt;0,P27,0)</f>
        <v>0</v>
      </c>
      <c r="R27" s="132">
        <f>IF(M27=0,0,IF(M27-Q27&gt;=1,M27-Q27,1))</f>
        <v>0</v>
      </c>
      <c r="S27" s="138">
        <v>1.5</v>
      </c>
      <c r="T27" s="139">
        <f>IF(M27&gt;0,S27,0)</f>
        <v>0</v>
      </c>
      <c r="U27" s="139">
        <f>IF(M27&gt;0,S27*R27,0)</f>
        <v>0</v>
      </c>
      <c r="V27" s="140">
        <f>IF(S27=2,R27,0)</f>
        <v>0</v>
      </c>
      <c r="W27" s="65"/>
      <c r="X27" s="65"/>
      <c r="Y27" s="149" t="s">
        <v>84</v>
      </c>
    </row>
    <row r="28" ht="27" customHeight="1" spans="2:25" x14ac:dyDescent="0.25">
      <c r="B28" s="142">
        <v>2008</v>
      </c>
      <c r="C28" s="143" t="s">
        <v>100</v>
      </c>
      <c r="D28" s="143"/>
      <c r="E28" s="138" t="s">
        <v>101</v>
      </c>
      <c r="F28" s="144"/>
      <c r="G28" s="144"/>
      <c r="H28" s="145"/>
      <c r="I28" s="146"/>
      <c r="J28" s="144"/>
      <c r="K28" s="147">
        <f>IF(J28="E",0.7,IF(J28="D",0.3,IF(J28="C",0.1,0)))</f>
        <v>0</v>
      </c>
      <c r="L28" s="147">
        <f>IF(I28="רכיב לא קיים",0,I28)</f>
        <v>0</v>
      </c>
      <c r="M28" s="138">
        <f>IF(L28=5,5,K28+L28)</f>
        <v>0</v>
      </c>
      <c r="N28" s="144"/>
      <c r="O28" s="144"/>
      <c r="P28" s="147">
        <f>IF(S28=2,0,IF(S28=1.5,0.3-((M28-1)*0.3/4),IF(S28=1.2,0.6-((M28-1)*0.6/4),1.2-((M28-1)*1.2/4))))</f>
        <v>0.75</v>
      </c>
      <c r="Q28" s="132">
        <f>IF(M28&gt;0,P28,0)</f>
        <v>0</v>
      </c>
      <c r="R28" s="132">
        <f>IF(M28=0,0,IF(M28-Q28&gt;=1,M28-Q28,1))</f>
        <v>0</v>
      </c>
      <c r="S28" s="138">
        <v>1.2</v>
      </c>
      <c r="T28" s="139">
        <f>IF(M28&gt;0,S28,0)</f>
        <v>0</v>
      </c>
      <c r="U28" s="139">
        <f>IF(M28&gt;0,S28*R28,0)</f>
        <v>0</v>
      </c>
      <c r="V28" s="140">
        <f>IF(S28=2,R28,0)</f>
        <v>0</v>
      </c>
      <c r="W28" s="65"/>
      <c r="X28" s="65"/>
      <c r="Y28" s="149"/>
    </row>
    <row r="29" ht="27" customHeight="1" spans="2:25" x14ac:dyDescent="0.25">
      <c r="B29" s="142">
        <v>3001</v>
      </c>
      <c r="C29" s="150" t="s">
        <v>102</v>
      </c>
      <c r="D29" s="150"/>
      <c r="E29" s="138" t="s">
        <v>101</v>
      </c>
      <c r="F29" s="144"/>
      <c r="G29" s="144"/>
      <c r="H29" s="151"/>
      <c r="I29" s="146"/>
      <c r="J29" s="144"/>
      <c r="K29" s="147">
        <f>IF(J29="E",0.7,IF(J29="D",0.3,IF(J29="C",0.1,0)))</f>
        <v>0</v>
      </c>
      <c r="L29" s="147">
        <f>IF(I29="רכיב לא קיים",0,I29)</f>
        <v>0</v>
      </c>
      <c r="M29" s="138">
        <f>IF(L29=5,5,K29+L29)</f>
        <v>0</v>
      </c>
      <c r="N29" s="144"/>
      <c r="O29" s="144"/>
      <c r="P29" s="147">
        <f>IF(S29=2,0,IF(S29=1.5,0.3-((M29-1)*0.3/4),IF(S29=1.2,0.6-((M29-1)*0.6/4),1.2-((M29-1)*1.2/4))))</f>
        <v>0.75</v>
      </c>
      <c r="Q29" s="132">
        <f>IF(M29&gt;0,P29,0)</f>
        <v>0</v>
      </c>
      <c r="R29" s="132">
        <f>IF(M29=0,0,IF(M29-Q29&gt;=1,M29-Q29,1))</f>
        <v>0</v>
      </c>
      <c r="S29" s="138">
        <v>1.2</v>
      </c>
      <c r="T29" s="139">
        <f>IF(M29&gt;0,S29,0)</f>
        <v>0</v>
      </c>
      <c r="U29" s="139">
        <f>IF(M29&gt;0,S29*R29,0)</f>
        <v>0</v>
      </c>
      <c r="V29" s="140">
        <f>IF(S29=2,R29,0)</f>
        <v>0</v>
      </c>
      <c r="W29" s="65"/>
      <c r="X29" s="65"/>
      <c r="Y29" s="149" t="s">
        <v>84</v>
      </c>
    </row>
    <row r="30" ht="27" customHeight="1" spans="2:25" x14ac:dyDescent="0.25">
      <c r="B30" s="142">
        <v>3002</v>
      </c>
      <c r="C30" s="150" t="s">
        <v>103</v>
      </c>
      <c r="D30" s="150"/>
      <c r="E30" s="138" t="s">
        <v>101</v>
      </c>
      <c r="F30" s="144"/>
      <c r="G30" s="144"/>
      <c r="H30" s="151"/>
      <c r="I30" s="146"/>
      <c r="J30" s="144"/>
      <c r="K30" s="147">
        <f>IF(J30="E",0.7,IF(J30="D",0.3,IF(J30="C",0.1,0)))</f>
        <v>0</v>
      </c>
      <c r="L30" s="147">
        <f>IF(I30="רכיב לא קיים",0,I30)</f>
        <v>0</v>
      </c>
      <c r="M30" s="138">
        <f>IF(L30=5,5,K30+L30)</f>
        <v>0</v>
      </c>
      <c r="N30" s="144"/>
      <c r="O30" s="144"/>
      <c r="P30" s="147">
        <f>IF(S30=2,0,IF(S30=1.5,0.3-((M30-1)*0.3/4),IF(S30=1.2,0.6-((M30-1)*0.6/4),1.2-((M30-1)*1.2/4))))</f>
        <v>0.75</v>
      </c>
      <c r="Q30" s="132">
        <f>IF(M30&gt;0,P30,0)</f>
        <v>0</v>
      </c>
      <c r="R30" s="132">
        <f>IF(M30=0,0,IF(M30-Q30&gt;=1,M30-Q30,1))</f>
        <v>0</v>
      </c>
      <c r="S30" s="138">
        <v>1.2</v>
      </c>
      <c r="T30" s="139">
        <f>IF(M30&gt;0,S30,0)</f>
        <v>0</v>
      </c>
      <c r="U30" s="139">
        <f>IF(M30&gt;0,S30*R30,0)</f>
        <v>0</v>
      </c>
      <c r="V30" s="140">
        <f>IF(S30=2,R30,0)</f>
        <v>0</v>
      </c>
      <c r="W30" s="65"/>
      <c r="X30" s="65"/>
      <c r="Y30" s="149" t="s">
        <v>84</v>
      </c>
    </row>
    <row r="31" ht="27" customHeight="1" spans="2:25" x14ac:dyDescent="0.25">
      <c r="B31" s="142">
        <v>3003</v>
      </c>
      <c r="C31" s="143" t="s">
        <v>104</v>
      </c>
      <c r="D31" s="143"/>
      <c r="E31" s="138" t="s">
        <v>101</v>
      </c>
      <c r="F31" s="144"/>
      <c r="G31" s="144"/>
      <c r="H31" s="145"/>
      <c r="I31" s="146"/>
      <c r="J31" s="144"/>
      <c r="K31" s="147">
        <f>IF(J31="E",0.7,IF(J31="D",0.3,IF(J31="C",0.1,0)))</f>
        <v>0</v>
      </c>
      <c r="L31" s="147">
        <f>IF(I31="רכיב לא קיים",0,I31)</f>
        <v>0</v>
      </c>
      <c r="M31" s="138">
        <f>IF(L31=5,5,K31+L31)</f>
        <v>0</v>
      </c>
      <c r="N31" s="144"/>
      <c r="O31" s="144"/>
      <c r="P31" s="147">
        <f>IF(S31=2,0,IF(S31=1.5,0.3-((M31-1)*0.3/4),IF(S31=1.2,0.6-((M31-1)*0.6/4),1.2-((M31-1)*1.2/4))))</f>
        <v>0.75</v>
      </c>
      <c r="Q31" s="132">
        <f>IF(M31&gt;0,P31,0)</f>
        <v>0</v>
      </c>
      <c r="R31" s="132">
        <f>IF(M31=0,0,IF(M31-Q31&gt;=1,M31-Q31,1))</f>
        <v>0</v>
      </c>
      <c r="S31" s="138">
        <v>1.2</v>
      </c>
      <c r="T31" s="139">
        <f>IF(M31&gt;0,S31,0)</f>
        <v>0</v>
      </c>
      <c r="U31" s="139">
        <f>IF(M31&gt;0,S31*R31,0)</f>
        <v>0</v>
      </c>
      <c r="V31" s="140">
        <f>IF(S31=2,R31,0)</f>
        <v>0</v>
      </c>
      <c r="W31" s="65"/>
      <c r="X31" s="65"/>
      <c r="Y31" s="149" t="s">
        <v>84</v>
      </c>
    </row>
    <row r="32" ht="27" customHeight="1" spans="2:25" x14ac:dyDescent="0.25">
      <c r="B32" s="142">
        <v>7002</v>
      </c>
      <c r="C32" s="143" t="s">
        <v>105</v>
      </c>
      <c r="D32" s="143"/>
      <c r="E32" s="138" t="s">
        <v>90</v>
      </c>
      <c r="F32" s="144"/>
      <c r="G32" s="144"/>
      <c r="H32" s="145"/>
      <c r="I32" s="146"/>
      <c r="J32" s="144"/>
      <c r="K32" s="147">
        <f>IF(J32="E",0.7,IF(J32="D",0.3,IF(J32="C",0.1,0)))</f>
        <v>0</v>
      </c>
      <c r="L32" s="147">
        <f>IF(I32="רכיב לא קיים",0,I32)</f>
        <v>0</v>
      </c>
      <c r="M32" s="138">
        <f>IF(L32=5,5,K32+L32)</f>
        <v>0</v>
      </c>
      <c r="N32" s="144"/>
      <c r="O32" s="144"/>
      <c r="P32" s="147">
        <f>IF(S32=2,0,IF(S32=1.5,0.3-((M32-1)*0.3/4),IF(S32=1.2,0.6-((M32-1)*0.6/4),1.2-((M32-1)*1.2/4))))</f>
        <v>0.375</v>
      </c>
      <c r="Q32" s="132">
        <f>IF(M32&gt;0,P32,0)</f>
        <v>0</v>
      </c>
      <c r="R32" s="132">
        <f>IF(M32=0,0,IF(M32-Q32&gt;=1,M32-Q32,1))</f>
        <v>0</v>
      </c>
      <c r="S32" s="138">
        <v>1.5</v>
      </c>
      <c r="T32" s="139">
        <f>IF(M32&gt;0,S32,0)</f>
        <v>0</v>
      </c>
      <c r="U32" s="139">
        <f>IF(M32&gt;0,S32*R32,0)</f>
        <v>0</v>
      </c>
      <c r="V32" s="140">
        <f>IF(S32=2,R32,0)</f>
        <v>0</v>
      </c>
      <c r="W32" s="65"/>
      <c r="X32" s="65"/>
      <c r="Y32" s="149"/>
    </row>
    <row r="33" ht="27" customHeight="1" spans="2:25" x14ac:dyDescent="0.25">
      <c r="B33" s="142">
        <v>3005</v>
      </c>
      <c r="C33" s="143" t="s">
        <v>107</v>
      </c>
      <c r="D33" s="143"/>
      <c r="E33" s="138" t="s">
        <v>101</v>
      </c>
      <c r="F33" s="144"/>
      <c r="G33" s="144"/>
      <c r="H33" s="151"/>
      <c r="I33" s="146"/>
      <c r="J33" s="144"/>
      <c r="K33" s="147">
        <f>IF(J33="E",0.7,IF(J33="D",0.3,IF(J33="C",0.1,0)))</f>
        <v>0</v>
      </c>
      <c r="L33" s="147">
        <f>IF(I33="רכיב לא קיים",0,I33)</f>
        <v>0</v>
      </c>
      <c r="M33" s="138">
        <f>IF(L33=5,5,K33+L33)</f>
        <v>0</v>
      </c>
      <c r="N33" s="144"/>
      <c r="O33" s="144"/>
      <c r="P33" s="147">
        <f>IF(S33=2,0,IF(S33=1.5,0.3-((M33-1)*0.3/4),IF(S33=1.2,0.6-((M33-1)*0.6/4),1.2-((M33-1)*1.2/4))))</f>
        <v>0.75</v>
      </c>
      <c r="Q33" s="132">
        <f>IF(M33&gt;0,P33,0)</f>
        <v>0</v>
      </c>
      <c r="R33" s="132">
        <f>IF(M33=0,0,IF(M33-Q33&gt;=1,M33-Q33,1))</f>
        <v>0</v>
      </c>
      <c r="S33" s="138">
        <v>1.2</v>
      </c>
      <c r="T33" s="139">
        <f>IF(M33&gt;0,S33,0)</f>
        <v>0</v>
      </c>
      <c r="U33" s="139">
        <f>IF(M33&gt;0,S33*R33,0)</f>
        <v>0</v>
      </c>
      <c r="V33" s="140">
        <f>IF(S33=2,R33,0)</f>
        <v>0</v>
      </c>
      <c r="W33" s="65"/>
      <c r="X33" s="65"/>
      <c r="Y33" s="149" t="s">
        <v>84</v>
      </c>
    </row>
    <row r="34" ht="27" customHeight="1" spans="2:25" x14ac:dyDescent="0.25">
      <c r="B34" s="142">
        <v>3006</v>
      </c>
      <c r="C34" s="143" t="s">
        <v>108</v>
      </c>
      <c r="D34" s="143"/>
      <c r="E34" s="138" t="s">
        <v>101</v>
      </c>
      <c r="F34" s="144"/>
      <c r="G34" s="144"/>
      <c r="H34" s="151"/>
      <c r="I34" s="146"/>
      <c r="J34" s="144"/>
      <c r="K34" s="147">
        <f>IF(J34="E",0.7,IF(J34="D",0.3,IF(J34="C",0.1,0)))</f>
        <v>0</v>
      </c>
      <c r="L34" s="147">
        <f>IF(I34="רכיב לא קיים",0,I34)</f>
        <v>0</v>
      </c>
      <c r="M34" s="138">
        <f>IF(L34=5,5,K34+L34)</f>
        <v>0</v>
      </c>
      <c r="N34" s="144"/>
      <c r="O34" s="144"/>
      <c r="P34" s="147">
        <f>IF(S34=2,0,IF(S34=1.5,0.3-((M34-1)*0.3/4),IF(S34=1.2,0.6-((M34-1)*0.6/4),1.2-((M34-1)*1.2/4))))</f>
        <v>0.75</v>
      </c>
      <c r="Q34" s="132">
        <f>IF(M34&gt;0,P34,0)</f>
        <v>0</v>
      </c>
      <c r="R34" s="132">
        <f>IF(M34=0,0,IF(M34-Q34&gt;=1,M34-Q34,1))</f>
        <v>0</v>
      </c>
      <c r="S34" s="138">
        <v>1.2</v>
      </c>
      <c r="T34" s="139">
        <f>IF(M34&gt;0,S34,0)</f>
        <v>0</v>
      </c>
      <c r="U34" s="139">
        <f>IF(M34&gt;0,S34*R34,0)</f>
        <v>0</v>
      </c>
      <c r="V34" s="140">
        <f>IF(S34=2,R34,0)</f>
        <v>0</v>
      </c>
      <c r="W34" s="65"/>
      <c r="X34" s="65"/>
      <c r="Y34" s="149" t="s">
        <v>84</v>
      </c>
    </row>
    <row r="35" ht="27" customHeight="1" spans="2:25" x14ac:dyDescent="0.25">
      <c r="B35" s="142">
        <v>3007</v>
      </c>
      <c r="C35" s="143" t="s">
        <v>109</v>
      </c>
      <c r="D35" s="143"/>
      <c r="E35" s="138" t="s">
        <v>101</v>
      </c>
      <c r="F35" s="144"/>
      <c r="G35" s="144"/>
      <c r="H35" s="213">
        <v>5.1</v>
      </c>
      <c r="I35" s="146">
        <v>2</v>
      </c>
      <c r="J35" s="144" t="s">
        <v>75</v>
      </c>
      <c r="K35" s="147">
        <f>IF(J35="E",0.7,IF(J35="D",0.3,IF(J35="C",0.1,0)))</f>
        <v>0</v>
      </c>
      <c r="L35" s="147">
        <f>IF(I35="רכיב לא קיים",0,I35)</f>
        <v>2</v>
      </c>
      <c r="M35" s="138">
        <f>IF(L35=5,5,K35+L35)</f>
        <v>2</v>
      </c>
      <c r="N35" s="144"/>
      <c r="O35" s="144"/>
      <c r="P35" s="147">
        <f>IF(S35=2,0,IF(S35=1.5,0.3-((M35-1)*0.3/4),IF(S35=1.2,0.6-((M35-1)*0.6/4),1.2-((M35-1)*1.2/4))))</f>
        <v>0.45</v>
      </c>
      <c r="Q35" s="132">
        <f>IF(M35&gt;0,P35,0)</f>
        <v>0.45</v>
      </c>
      <c r="R35" s="132">
        <f>IF(M35=0,0,IF(M35-Q35&gt;=1,M35-Q35,1))</f>
        <v>1.55</v>
      </c>
      <c r="S35" s="138">
        <v>1.2</v>
      </c>
      <c r="T35" s="139">
        <f>IF(M35&gt;0,S35,0)</f>
        <v>1.2</v>
      </c>
      <c r="U35" s="139">
        <f>IF(M35&gt;0,S35*R35,0)</f>
        <v>1.86</v>
      </c>
      <c r="V35" s="140">
        <f>IF(S35=2,R35,0)</f>
        <v>0</v>
      </c>
      <c r="W35" s="65"/>
      <c r="X35" s="65"/>
      <c r="Y35" s="149"/>
    </row>
    <row r="36" ht="27" customHeight="1" spans="2:25" x14ac:dyDescent="0.25">
      <c r="B36" s="142">
        <v>4001</v>
      </c>
      <c r="C36" s="143" t="s">
        <v>111</v>
      </c>
      <c r="D36" s="143"/>
      <c r="E36" s="138" t="s">
        <v>101</v>
      </c>
      <c r="F36" s="144"/>
      <c r="G36" s="144"/>
      <c r="H36" s="151"/>
      <c r="I36" s="146"/>
      <c r="J36" s="144"/>
      <c r="K36" s="147">
        <f>IF(J36="E",0.7,IF(J36="D",0.3,IF(J36="C",0.1,0)))</f>
        <v>0</v>
      </c>
      <c r="L36" s="147">
        <f>IF(I36="רכיב לא קיים",0,I36)</f>
        <v>0</v>
      </c>
      <c r="M36" s="138">
        <f>IF(L36=5,5,K36+L36)</f>
        <v>0</v>
      </c>
      <c r="N36" s="144"/>
      <c r="O36" s="144"/>
      <c r="P36" s="147">
        <f>IF(S36=2,0,IF(S36=1.5,0.3-((M36-1)*0.3/4),IF(S36=1.2,0.6-((M36-1)*0.6/4),1.2-((M36-1)*1.2/4))))</f>
        <v>0.75</v>
      </c>
      <c r="Q36" s="132">
        <f>IF(M36&gt;0,P36,0)</f>
        <v>0</v>
      </c>
      <c r="R36" s="132">
        <f>IF(M36=0,0,IF(M36-Q36&gt;=1,M36-Q36,1))</f>
        <v>0</v>
      </c>
      <c r="S36" s="138">
        <v>1.2</v>
      </c>
      <c r="T36" s="139">
        <f>IF(M36&gt;0,S36,0)</f>
        <v>0</v>
      </c>
      <c r="U36" s="139">
        <f>IF(M36&gt;0,S36*R36,0)</f>
        <v>0</v>
      </c>
      <c r="V36" s="140">
        <f>IF(S36=2,R36,0)</f>
        <v>0</v>
      </c>
      <c r="W36" s="65"/>
      <c r="X36" s="65"/>
      <c r="Y36" s="149" t="s">
        <v>84</v>
      </c>
    </row>
    <row r="37" ht="27" customHeight="1" spans="2:25" x14ac:dyDescent="0.25">
      <c r="B37" s="142">
        <v>6009</v>
      </c>
      <c r="C37" s="143" t="s">
        <v>112</v>
      </c>
      <c r="D37" s="143"/>
      <c r="E37" s="138" t="s">
        <v>90</v>
      </c>
      <c r="F37" s="144"/>
      <c r="G37" s="144"/>
      <c r="H37" s="145"/>
      <c r="I37" s="146"/>
      <c r="J37" s="144"/>
      <c r="K37" s="147">
        <f>IF(J37="E",0.7,IF(J37="D",0.3,IF(J37="C",0.1,0)))</f>
        <v>0</v>
      </c>
      <c r="L37" s="147">
        <f>IF(I37="רכיב לא קיים",0,I37)</f>
        <v>0</v>
      </c>
      <c r="M37" s="138">
        <f>IF(L37=5,5,K37+L37)</f>
        <v>0</v>
      </c>
      <c r="N37" s="144"/>
      <c r="O37" s="144"/>
      <c r="P37" s="147">
        <f>IF(S37=2,0,IF(S37=1.5,0.3-((M37-1)*0.3/4),IF(S37=1.2,0.6-((M37-1)*0.6/4),1.2-((M37-1)*1.2/4))))</f>
        <v>0.375</v>
      </c>
      <c r="Q37" s="132">
        <f>IF(M37&gt;0,P37,0)</f>
        <v>0</v>
      </c>
      <c r="R37" s="132">
        <f>IF(M37=0,0,IF(M37-Q37&gt;=1,M37-Q37,1))</f>
        <v>0</v>
      </c>
      <c r="S37" s="138">
        <v>1.5</v>
      </c>
      <c r="T37" s="139">
        <f>IF(M37&gt;0,S37,0)</f>
        <v>0</v>
      </c>
      <c r="U37" s="139">
        <f>IF(M37&gt;0,S37*R37,0)</f>
        <v>0</v>
      </c>
      <c r="V37" s="140">
        <f>IF(S37=2,R37,0)</f>
        <v>0</v>
      </c>
      <c r="W37" s="65"/>
      <c r="X37" s="65"/>
      <c r="Y37" s="149" t="s">
        <v>84</v>
      </c>
    </row>
    <row r="38" ht="27" customHeight="1" spans="2:25" x14ac:dyDescent="0.25">
      <c r="B38" s="142">
        <v>7000</v>
      </c>
      <c r="C38" s="150" t="s">
        <v>114</v>
      </c>
      <c r="D38" s="150"/>
      <c r="E38" s="138" t="s">
        <v>101</v>
      </c>
      <c r="F38" s="144"/>
      <c r="G38" s="144"/>
      <c r="H38" s="145"/>
      <c r="I38" s="146"/>
      <c r="J38" s="144"/>
      <c r="K38" s="147">
        <f>IF(J38="E",0.7,IF(J38="D",0.3,IF(J38="C",0.1,0)))</f>
        <v>0</v>
      </c>
      <c r="L38" s="147">
        <f>IF(I38="רכיב לא קיים",0,I38)</f>
        <v>0</v>
      </c>
      <c r="M38" s="138">
        <f>IF(L38=5,5,K38+L38)</f>
        <v>0</v>
      </c>
      <c r="N38" s="144"/>
      <c r="O38" s="144"/>
      <c r="P38" s="147">
        <f>IF(S38=2,0,IF(S38=1.5,0.3-((M38-1)*0.3/4),IF(S38=1.2,0.6-((M38-1)*0.6/4),1.2-((M38-1)*1.2/4))))</f>
        <v>0.75</v>
      </c>
      <c r="Q38" s="132">
        <f>IF(M38&gt;0,P38,0)</f>
        <v>0</v>
      </c>
      <c r="R38" s="132">
        <f>IF(M38=0,0,IF(M38-Q38&gt;=1,M38-Q38,1))</f>
        <v>0</v>
      </c>
      <c r="S38" s="138">
        <v>1.2</v>
      </c>
      <c r="T38" s="139">
        <f>IF(M38&gt;0,S38,0)</f>
        <v>0</v>
      </c>
      <c r="U38" s="139">
        <f>IF(M38&gt;0,S38*R38,0)</f>
        <v>0</v>
      </c>
      <c r="V38" s="140">
        <f>IF(S38=2,R38,0)</f>
        <v>0</v>
      </c>
      <c r="W38" s="65"/>
      <c r="X38" s="65"/>
      <c r="Y38" s="149"/>
    </row>
    <row r="39" ht="27" customHeight="1" spans="2:25" x14ac:dyDescent="0.25">
      <c r="B39" s="142">
        <v>7001</v>
      </c>
      <c r="C39" s="153" t="s">
        <v>116</v>
      </c>
      <c r="D39" s="153"/>
      <c r="E39" s="138" t="s">
        <v>117</v>
      </c>
      <c r="F39" s="144"/>
      <c r="G39" s="144"/>
      <c r="H39" s="145" t="s">
        <v>115</v>
      </c>
      <c r="I39" s="146">
        <v>2</v>
      </c>
      <c r="J39" s="144" t="s">
        <v>75</v>
      </c>
      <c r="K39" s="147">
        <f>IF(J39="E",0.7,IF(J39="D",0.3,IF(J39="C",0.1,0)))</f>
        <v>0</v>
      </c>
      <c r="L39" s="147">
        <f>IF(I39="רכיב לא קיים",0,I39)</f>
        <v>2</v>
      </c>
      <c r="M39" s="138">
        <f>IF(L39=5,5,K39+L39)</f>
        <v>2</v>
      </c>
      <c r="N39" s="144"/>
      <c r="O39" s="144"/>
      <c r="P39" s="147">
        <f>IF(S39=2,0,IF(S39=1.5,0.3-((M39-1)*0.3/4),IF(S39=1.2,0.6-((M39-1)*0.6/4),1.2-((M39-1)*1.2/4))))</f>
        <v>0.9</v>
      </c>
      <c r="Q39" s="132">
        <f>IF(M39&gt;0,P39,0)</f>
        <v>0.9</v>
      </c>
      <c r="R39" s="132">
        <f>IF(M39=0,0,IF(M39-Q39&gt;=1,M39-Q39,1))</f>
        <v>1.1</v>
      </c>
      <c r="S39" s="138">
        <v>1</v>
      </c>
      <c r="T39" s="139">
        <f>IF(M39&gt;0,S39,0)</f>
        <v>1</v>
      </c>
      <c r="U39" s="139">
        <f>IF(M39&gt;0,S39*R39,0)</f>
        <v>1.1</v>
      </c>
      <c r="V39" s="140">
        <f>IF(S39=2,R39,0)</f>
        <v>0</v>
      </c>
      <c r="W39" s="65"/>
      <c r="X39" s="65"/>
      <c r="Y39" s="149"/>
    </row>
    <row r="40" ht="27" customHeight="1" spans="2:25" x14ac:dyDescent="0.25">
      <c r="B40" s="142">
        <v>5001</v>
      </c>
      <c r="C40" s="143" t="s">
        <v>119</v>
      </c>
      <c r="D40" s="143"/>
      <c r="E40" s="138" t="s">
        <v>101</v>
      </c>
      <c r="F40" s="144"/>
      <c r="G40" s="144"/>
      <c r="H40" s="145"/>
      <c r="I40" s="146"/>
      <c r="J40" s="144"/>
      <c r="K40" s="147">
        <f>IF(J40="E",0.7,IF(J40="D",0.3,IF(J40="C",0.1,0)))</f>
        <v>0</v>
      </c>
      <c r="L40" s="147">
        <f>IF(I40="רכיב לא קיים",0,I40)</f>
        <v>0</v>
      </c>
      <c r="M40" s="138">
        <f>IF(L40=5,5,K40+L40)</f>
        <v>0</v>
      </c>
      <c r="N40" s="144"/>
      <c r="O40" s="144"/>
      <c r="P40" s="147">
        <f>IF(S40=2,0,IF(S40=1.5,0.3-((M40-1)*0.3/4),IF(S40=1.2,0.6-((M40-1)*0.6/4),1.2-((M40-1)*1.2/4))))</f>
        <v>0.75</v>
      </c>
      <c r="Q40" s="132">
        <f>IF(M40&gt;0,P40,0)</f>
        <v>0</v>
      </c>
      <c r="R40" s="132">
        <f>IF(M40=0,0,IF(M40-Q40&gt;=1,M40-Q40,1))</f>
        <v>0</v>
      </c>
      <c r="S40" s="138">
        <v>1.2</v>
      </c>
      <c r="T40" s="139">
        <f>IF(M40&gt;0,S40,0)</f>
        <v>0</v>
      </c>
      <c r="U40" s="139">
        <f>IF(M40&gt;0,S40*R40,0)</f>
        <v>0</v>
      </c>
      <c r="V40" s="140">
        <f>IF(S40=2,R40,0)</f>
        <v>0</v>
      </c>
      <c r="W40" s="65"/>
      <c r="X40" s="65"/>
      <c r="Y40" s="149" t="s">
        <v>84</v>
      </c>
    </row>
    <row r="41" ht="27" customHeight="1" spans="2:25" x14ac:dyDescent="0.25">
      <c r="B41" s="142">
        <v>5002</v>
      </c>
      <c r="C41" s="143" t="s">
        <v>120</v>
      </c>
      <c r="D41" s="143"/>
      <c r="E41" s="138" t="s">
        <v>101</v>
      </c>
      <c r="F41" s="144"/>
      <c r="G41" s="144"/>
      <c r="H41" s="145"/>
      <c r="I41" s="146"/>
      <c r="J41" s="144"/>
      <c r="K41" s="147">
        <f>IF(J41="E",0.7,IF(J41="D",0.3,IF(J41="C",0.1,0)))</f>
        <v>0</v>
      </c>
      <c r="L41" s="147">
        <f>IF(I41="רכיב לא קיים",0,I41)</f>
        <v>0</v>
      </c>
      <c r="M41" s="138">
        <f>IF(L41=5,5,K41+L41)</f>
        <v>0</v>
      </c>
      <c r="N41" s="144"/>
      <c r="O41" s="144"/>
      <c r="P41" s="147">
        <f>IF(S41=2,0,IF(S41=1.5,0.3-((M41-1)*0.3/4),IF(S41=1.2,0.6-((M41-1)*0.6/4),1.2-((M41-1)*1.2/4))))</f>
        <v>0.75</v>
      </c>
      <c r="Q41" s="132">
        <f>IF(M41&gt;0,P41,0)</f>
        <v>0</v>
      </c>
      <c r="R41" s="132">
        <f>IF(M41=0,0,IF(M41-Q41&gt;=1,M41-Q41,1))</f>
        <v>0</v>
      </c>
      <c r="S41" s="138">
        <v>1.2</v>
      </c>
      <c r="T41" s="139">
        <f>IF(M41&gt;0,S41,0)</f>
        <v>0</v>
      </c>
      <c r="U41" s="139">
        <f>IF(M41&gt;0,S41*R41,0)</f>
        <v>0</v>
      </c>
      <c r="V41" s="140">
        <f>IF(S41=2,R41,0)</f>
        <v>0</v>
      </c>
      <c r="W41" s="65"/>
      <c r="X41" s="65"/>
      <c r="Y41" s="149"/>
    </row>
    <row r="42" ht="36.75" customHeight="1" spans="2:25" x14ac:dyDescent="0.25">
      <c r="B42" s="142">
        <v>5003</v>
      </c>
      <c r="C42" s="143" t="s">
        <v>121</v>
      </c>
      <c r="D42" s="143"/>
      <c r="E42" s="138" t="s">
        <v>101</v>
      </c>
      <c r="F42" s="144"/>
      <c r="G42" s="144"/>
      <c r="H42" s="151"/>
      <c r="I42" s="146"/>
      <c r="J42" s="144"/>
      <c r="K42" s="147">
        <f>IF(J42="E",0.7,IF(J42="D",0.3,IF(J42="C",0.1,0)))</f>
        <v>0</v>
      </c>
      <c r="L42" s="147">
        <f>IF(I42="רכיב לא קיים",0,I42)</f>
        <v>0</v>
      </c>
      <c r="M42" s="138">
        <f>IF(L42=5,5,K42+L42)</f>
        <v>0</v>
      </c>
      <c r="N42" s="144"/>
      <c r="O42" s="144"/>
      <c r="P42" s="147">
        <f>IF(S42=2,0,IF(S42=1.5,0.3-((M42-1)*0.3/4),IF(S42=1.2,0.6-((M42-1)*0.6/4),1.2-((M42-1)*1.2/4))))</f>
        <v>0.75</v>
      </c>
      <c r="Q42" s="132">
        <f>IF(M42&gt;0,P42,0)</f>
        <v>0</v>
      </c>
      <c r="R42" s="132">
        <f>IF(M42=0,0,IF(M42-Q42&gt;=1,M42-Q42,1))</f>
        <v>0</v>
      </c>
      <c r="S42" s="138">
        <v>1.2</v>
      </c>
      <c r="T42" s="139">
        <f>IF(M42&gt;0,S42,0)</f>
        <v>0</v>
      </c>
      <c r="U42" s="139">
        <f>IF(M42&gt;0,S42*R42,0)</f>
        <v>0</v>
      </c>
      <c r="V42" s="140">
        <f>IF(S42=2,R42,0)</f>
        <v>0</v>
      </c>
      <c r="W42" s="65"/>
      <c r="X42" s="65"/>
      <c r="Y42" s="149" t="s">
        <v>84</v>
      </c>
    </row>
    <row r="43" ht="27" customHeight="1" spans="2:25" x14ac:dyDescent="0.25">
      <c r="B43" s="142">
        <v>5004</v>
      </c>
      <c r="C43" s="143" t="s">
        <v>122</v>
      </c>
      <c r="D43" s="143"/>
      <c r="E43" s="138" t="s">
        <v>101</v>
      </c>
      <c r="F43" s="144"/>
      <c r="G43" s="144"/>
      <c r="H43" s="151"/>
      <c r="I43" s="146"/>
      <c r="J43" s="144"/>
      <c r="K43" s="147">
        <f>IF(J43="E",0.7,IF(J43="D",0.3,IF(J43="C",0.1,0)))</f>
        <v>0</v>
      </c>
      <c r="L43" s="147">
        <f>IF(I43="רכיב לא קיים",0,I43)</f>
        <v>0</v>
      </c>
      <c r="M43" s="138">
        <f>IF(L43=5,5,K43+L43)</f>
        <v>0</v>
      </c>
      <c r="N43" s="144"/>
      <c r="O43" s="144"/>
      <c r="P43" s="147">
        <f>IF(S43=2,0,IF(S43=1.5,0.3-((M43-1)*0.3/4),IF(S43=1.2,0.6-((M43-1)*0.6/4),1.2-((M43-1)*1.2/4))))</f>
        <v>0.75</v>
      </c>
      <c r="Q43" s="132">
        <f>IF(M43&gt;0,P43,0)</f>
        <v>0</v>
      </c>
      <c r="R43" s="132">
        <f>IF(M43=0,0,IF(M43-Q43&gt;=1,M43-Q43,1))</f>
        <v>0</v>
      </c>
      <c r="S43" s="138">
        <v>1.2</v>
      </c>
      <c r="T43" s="139">
        <f>IF(M43&gt;0,S43,0)</f>
        <v>0</v>
      </c>
      <c r="U43" s="139">
        <f>IF(M43&gt;0,S43*R43,0)</f>
        <v>0</v>
      </c>
      <c r="V43" s="140">
        <f>IF(S43=2,R43,0)</f>
        <v>0</v>
      </c>
      <c r="W43" s="65"/>
      <c r="X43" s="65"/>
      <c r="Y43" s="149" t="s">
        <v>84</v>
      </c>
    </row>
    <row r="44" ht="27" customHeight="1" spans="2:25" x14ac:dyDescent="0.25">
      <c r="B44" s="142">
        <v>5005</v>
      </c>
      <c r="C44" s="143" t="s">
        <v>123</v>
      </c>
      <c r="D44" s="143"/>
      <c r="E44" s="138" t="s">
        <v>117</v>
      </c>
      <c r="F44" s="144"/>
      <c r="G44" s="144"/>
      <c r="H44" s="151"/>
      <c r="I44" s="146"/>
      <c r="J44" s="144"/>
      <c r="K44" s="147">
        <f>IF(J44="E",0.7,IF(J44="D",0.3,IF(J44="C",0.1,0)))</f>
        <v>0</v>
      </c>
      <c r="L44" s="147">
        <f>IF(I44="רכיב לא קיים",0,I44)</f>
        <v>0</v>
      </c>
      <c r="M44" s="138">
        <f>IF(L44=5,5,K44+L44)</f>
        <v>0</v>
      </c>
      <c r="N44" s="144"/>
      <c r="O44" s="144"/>
      <c r="P44" s="147">
        <f>IF(S44=2,0,IF(S44=1.5,0.3-((M44-1)*0.3/4),IF(S44=1.2,0.6-((M44-1)*0.6/4),1.2-((M44-1)*1.2/4))))</f>
        <v>1.5</v>
      </c>
      <c r="Q44" s="132">
        <f>IF(M44&gt;0,P44,0)</f>
        <v>0</v>
      </c>
      <c r="R44" s="132">
        <f>IF(M44=0,0,IF(M44-Q44&gt;=1,M44-Q44,1))</f>
        <v>0</v>
      </c>
      <c r="S44" s="138">
        <v>1</v>
      </c>
      <c r="T44" s="139">
        <f>IF(M44&gt;0,S44,0)</f>
        <v>0</v>
      </c>
      <c r="U44" s="139">
        <f>IF(M44&gt;0,S44*R44,0)</f>
        <v>0</v>
      </c>
      <c r="V44" s="140">
        <f>IF(S44=2,R44,0)</f>
        <v>0</v>
      </c>
      <c r="W44" s="65"/>
      <c r="X44" s="65"/>
      <c r="Y44" s="149" t="s">
        <v>84</v>
      </c>
    </row>
    <row r="45" ht="27" customHeight="1" spans="2:25" x14ac:dyDescent="0.25">
      <c r="B45" s="142">
        <v>5006</v>
      </c>
      <c r="C45" s="150" t="s">
        <v>124</v>
      </c>
      <c r="D45" s="150"/>
      <c r="E45" s="138" t="s">
        <v>90</v>
      </c>
      <c r="F45" s="144"/>
      <c r="G45" s="144"/>
      <c r="H45" s="151"/>
      <c r="I45" s="146"/>
      <c r="J45" s="144"/>
      <c r="K45" s="147">
        <f>IF(J45="E",0.7,IF(J45="D",0.3,IF(J45="C",0.1,0)))</f>
        <v>0</v>
      </c>
      <c r="L45" s="147">
        <f>IF(I45="רכיב לא קיים",0,I45)</f>
        <v>0</v>
      </c>
      <c r="M45" s="138">
        <f>IF(L45=5,5,K45+L45)</f>
        <v>0</v>
      </c>
      <c r="N45" s="144"/>
      <c r="O45" s="144"/>
      <c r="P45" s="147">
        <f>IF(S45=2,0,IF(S45=1.5,0.3-((M45-1)*0.3/4),IF(S45=1.2,0.6-((M45-1)*0.6/4),1.2-((M45-1)*1.2/4))))</f>
        <v>0.375</v>
      </c>
      <c r="Q45" s="132">
        <f>IF(M45&gt;0,P45,0)</f>
        <v>0</v>
      </c>
      <c r="R45" s="132">
        <f>IF(M45=0,0,IF(M45-Q45&gt;=1,M45-Q45,1))</f>
        <v>0</v>
      </c>
      <c r="S45" s="138">
        <v>1.5</v>
      </c>
      <c r="T45" s="139">
        <f>IF(M45&gt;0,S45,0)</f>
        <v>0</v>
      </c>
      <c r="U45" s="139">
        <f>IF(M45&gt;0,S45*R45,0)</f>
        <v>0</v>
      </c>
      <c r="V45" s="140">
        <f>IF(S45=2,R45,0)</f>
        <v>0</v>
      </c>
      <c r="W45" s="65"/>
      <c r="X45" s="65"/>
      <c r="Y45" s="149" t="s">
        <v>84</v>
      </c>
    </row>
    <row r="46" ht="27" customHeight="1" spans="2:25" x14ac:dyDescent="0.25">
      <c r="B46" s="142">
        <v>5007</v>
      </c>
      <c r="C46" s="143" t="s">
        <v>125</v>
      </c>
      <c r="D46" s="143"/>
      <c r="E46" s="138" t="s">
        <v>101</v>
      </c>
      <c r="F46" s="144"/>
      <c r="G46" s="144"/>
      <c r="H46" s="151"/>
      <c r="I46" s="146"/>
      <c r="J46" s="144"/>
      <c r="K46" s="147">
        <f>IF(J46="E",0.7,IF(J46="D",0.3,IF(J46="C",0.1,0)))</f>
        <v>0</v>
      </c>
      <c r="L46" s="147">
        <f>IF(I46="רכיב לא קיים",0,I46)</f>
        <v>0</v>
      </c>
      <c r="M46" s="138">
        <f>IF(L46=5,5,K46+L46)</f>
        <v>0</v>
      </c>
      <c r="N46" s="144"/>
      <c r="O46" s="144"/>
      <c r="P46" s="147">
        <f>IF(S46=2,0,IF(S46=1.5,0.3-((M46-1)*0.3/4),IF(S46=1.2,0.6-((M46-1)*0.6/4),1.2-((M46-1)*1.2/4))))</f>
        <v>0.75</v>
      </c>
      <c r="Q46" s="132">
        <f>IF(M46&gt;0,P46,0)</f>
        <v>0</v>
      </c>
      <c r="R46" s="132">
        <f>IF(M46=0,0,IF(M46-Q46&gt;=1,M46-Q46,1))</f>
        <v>0</v>
      </c>
      <c r="S46" s="138">
        <v>1.2</v>
      </c>
      <c r="T46" s="139">
        <f>IF(M46&gt;0,S46,0)</f>
        <v>0</v>
      </c>
      <c r="U46" s="139">
        <f>IF(M46&gt;0,S46*R46,0)</f>
        <v>0</v>
      </c>
      <c r="V46" s="140">
        <f>IF(S46=2,R46,0)</f>
        <v>0</v>
      </c>
      <c r="W46" s="65"/>
      <c r="X46" s="65"/>
      <c r="Y46" s="149" t="s">
        <v>84</v>
      </c>
    </row>
    <row r="47" ht="27" customHeight="1" spans="2:25" x14ac:dyDescent="0.25">
      <c r="B47" s="142">
        <v>5008</v>
      </c>
      <c r="C47" s="150" t="s">
        <v>126</v>
      </c>
      <c r="D47" s="150"/>
      <c r="E47" s="138" t="s">
        <v>117</v>
      </c>
      <c r="F47" s="144"/>
      <c r="G47" s="144"/>
      <c r="H47" s="145"/>
      <c r="I47" s="146"/>
      <c r="J47" s="144"/>
      <c r="K47" s="147">
        <f>IF(J47="E",0.7,IF(J47="D",0.3,IF(J47="C",0.1,0)))</f>
        <v>0</v>
      </c>
      <c r="L47" s="147">
        <f>IF(I47="רכיב לא קיים",0,I47)</f>
        <v>0</v>
      </c>
      <c r="M47" s="138">
        <f>IF(L47=5,5,K47+L47)</f>
        <v>0</v>
      </c>
      <c r="N47" s="144"/>
      <c r="O47" s="144"/>
      <c r="P47" s="147">
        <f>IF(S47=2,0,IF(S47=1.5,0.3-((M47-1)*0.3/4),IF(S47=1.2,0.6-((M47-1)*0.6/4),1.2-((M47-1)*1.2/4))))</f>
        <v>1.5</v>
      </c>
      <c r="Q47" s="132">
        <f>IF(M47&gt;0,P47,0)</f>
        <v>0</v>
      </c>
      <c r="R47" s="132">
        <f>IF(M47=0,0,IF(M47-Q47&gt;=1,M47-Q47,1))</f>
        <v>0</v>
      </c>
      <c r="S47" s="138">
        <v>1</v>
      </c>
      <c r="T47" s="139">
        <f>IF(M47&gt;0,S47,0)</f>
        <v>0</v>
      </c>
      <c r="U47" s="139">
        <f>IF(M47&gt;0,S47*R47,0)</f>
        <v>0</v>
      </c>
      <c r="V47" s="140">
        <f>IF(S47=2,R47,0)</f>
        <v>0</v>
      </c>
      <c r="W47" s="65"/>
      <c r="X47" s="65"/>
      <c r="Y47" s="149" t="s">
        <v>84</v>
      </c>
    </row>
    <row r="48" ht="34.5" customHeight="1" spans="2:25" x14ac:dyDescent="0.25">
      <c r="B48" s="154">
        <v>3004</v>
      </c>
      <c r="C48" s="155" t="s">
        <v>142</v>
      </c>
      <c r="D48" s="155"/>
      <c r="E48" s="156" t="s">
        <v>101</v>
      </c>
      <c r="F48" s="157"/>
      <c r="G48" s="157"/>
      <c r="H48" s="158"/>
      <c r="I48" s="159"/>
      <c r="J48" s="157"/>
      <c r="K48" s="160">
        <f>IF(J48="E",0.7,IF(J48="D",0.3,IF(J48="C",0.1,0)))</f>
        <v>0</v>
      </c>
      <c r="L48" s="160">
        <f>IF(I48="רכיב לא קיים",0,I48)</f>
        <v>0</v>
      </c>
      <c r="M48" s="156">
        <f>IF(L48=5,5,K48+L48)</f>
        <v>0</v>
      </c>
      <c r="N48" s="157"/>
      <c r="O48" s="157"/>
      <c r="P48" s="160">
        <f>IF(S48=2,0,IF(S48=1.5,0.3-((M48-1)*0.3/4),IF(S48=1.2,0.6-((M48-1)*0.6/4),1.2-((M48-1)*1.2/4))))</f>
        <v>0.75</v>
      </c>
      <c r="Q48" s="156">
        <f>IF(M48&gt;0,P48,0)</f>
        <v>0</v>
      </c>
      <c r="R48" s="156">
        <f>IF(M48=0,0,IF(M48-Q48&gt;=1,M48-Q48,1))</f>
        <v>0</v>
      </c>
      <c r="S48" s="156">
        <v>1.2</v>
      </c>
      <c r="T48" s="139">
        <f>IF(M48&gt;0,S48,0)</f>
        <v>0</v>
      </c>
      <c r="U48" s="139">
        <f>IF(M48&gt;0,S48*R48,0)</f>
        <v>0</v>
      </c>
      <c r="V48" s="140">
        <f>IF(S48=2,R48,0)</f>
        <v>0</v>
      </c>
      <c r="W48" s="109"/>
      <c r="X48" s="109"/>
      <c r="Y48" s="149" t="s">
        <v>84</v>
      </c>
    </row>
    <row r="49" ht="13.5" customHeight="1" spans="3:20" x14ac:dyDescent="0.25">
      <c r="C49" s="162"/>
      <c r="D49" s="6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63"/>
      <c r="R49" s="163"/>
      <c r="S49" s="105"/>
      <c r="T49" s="164"/>
    </row>
    <row r="50" ht="13.5" customHeight="1" spans="3:20" x14ac:dyDescent="0.25">
      <c r="C50" s="162"/>
      <c r="D50" s="6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63"/>
      <c r="R50" s="163"/>
      <c r="S50" s="105"/>
      <c r="T50" s="164"/>
    </row>
    <row r="51" ht="19.5" customHeight="1" spans="3:15" x14ac:dyDescent="0.25">
      <c r="C51" s="165"/>
      <c r="D51" s="166"/>
      <c r="E51" s="167"/>
      <c r="F51" s="168" t="s">
        <v>128</v>
      </c>
      <c r="G51" s="169"/>
      <c r="H51" s="169"/>
      <c r="I51" s="170"/>
      <c r="J51" s="171"/>
      <c r="K51" s="164"/>
      <c r="L51" s="164"/>
      <c r="N51" s="172"/>
      <c r="O51" s="172"/>
    </row>
    <row r="52" ht="13.5" customHeight="1" spans="3:19" x14ac:dyDescent="0.25">
      <c r="C52" s="173"/>
      <c r="D52" s="174"/>
      <c r="E52" s="174"/>
      <c r="F52" s="174"/>
      <c r="G52" s="174"/>
      <c r="H52" s="175"/>
      <c r="I52" s="175"/>
      <c r="J52" s="176"/>
      <c r="K52" s="164"/>
      <c r="L52" s="164"/>
      <c r="N52" s="164"/>
      <c r="O52" s="164"/>
      <c r="S52" s="164"/>
    </row>
    <row r="53" ht="16.5" customHeight="1" spans="3:19" x14ac:dyDescent="0.25">
      <c r="C53" s="177">
        <f>SUM(U15:U48)/SUM(T15:T48)</f>
        <v>2.13333333333333</v>
      </c>
      <c r="D53" s="178" t="s">
        <v>129</v>
      </c>
      <c r="E53" s="178"/>
      <c r="F53" s="178"/>
      <c r="G53" s="179" t="s">
        <v>130</v>
      </c>
      <c r="H53" s="180"/>
      <c r="I53" s="181"/>
      <c r="J53" s="176"/>
      <c r="K53" s="164"/>
      <c r="L53" s="164"/>
      <c r="S53" s="164"/>
    </row>
    <row r="54" ht="15" customHeight="1" spans="3:19" x14ac:dyDescent="0.25">
      <c r="C54" s="182"/>
      <c r="D54" s="181"/>
      <c r="E54" s="183"/>
      <c r="F54" s="183"/>
      <c r="G54" s="183"/>
      <c r="H54" s="183"/>
      <c r="I54" s="183"/>
      <c r="J54" s="176"/>
      <c r="K54" s="164"/>
      <c r="L54" s="164"/>
      <c r="M54" s="164"/>
      <c r="N54" s="164"/>
      <c r="O54" s="164"/>
      <c r="R54" s="164"/>
      <c r="S54" s="164"/>
    </row>
    <row r="55" ht="13.5" customHeight="1" spans="3:19" x14ac:dyDescent="0.25">
      <c r="C55" s="173"/>
      <c r="D55" s="184"/>
      <c r="E55" s="184"/>
      <c r="F55" s="184"/>
      <c r="G55" s="184"/>
      <c r="H55" s="184"/>
      <c r="I55" s="184"/>
      <c r="J55" s="176"/>
      <c r="K55" s="164"/>
      <c r="L55" s="164"/>
      <c r="M55" s="164"/>
      <c r="N55" s="164"/>
      <c r="O55" s="164"/>
      <c r="R55" s="164"/>
      <c r="S55" s="164"/>
    </row>
    <row r="56" ht="16.5" customHeight="1" spans="3:19" x14ac:dyDescent="0.25">
      <c r="C56" s="185">
        <f>MAX(V15:V48)</f>
        <v>3.3</v>
      </c>
      <c r="D56" s="186" t="s">
        <v>131</v>
      </c>
      <c r="E56" s="186"/>
      <c r="F56" s="186"/>
      <c r="G56" s="186"/>
      <c r="H56" s="187" t="s">
        <v>132</v>
      </c>
      <c r="I56" s="184"/>
      <c r="J56" s="188"/>
      <c r="K56" s="189"/>
      <c r="L56" s="190"/>
      <c r="M56" s="191"/>
      <c r="N56" s="164"/>
      <c r="O56" s="164"/>
      <c r="R56" s="164"/>
      <c r="S56" s="164"/>
    </row>
    <row r="57" ht="13.5" customHeight="1" spans="3:19" x14ac:dyDescent="0.25">
      <c r="C57" s="192"/>
      <c r="D57" s="174"/>
      <c r="E57" s="174"/>
      <c r="F57" s="174"/>
      <c r="G57" s="174"/>
      <c r="H57" s="174"/>
      <c r="I57" s="174"/>
      <c r="J57" s="184"/>
      <c r="K57" s="164"/>
      <c r="L57" s="164"/>
      <c r="M57" s="191"/>
      <c r="N57" s="164"/>
      <c r="O57" s="164"/>
      <c r="R57" s="164"/>
      <c r="S57" s="164"/>
    </row>
    <row r="58" ht="13.5" customHeight="1" spans="3:19" x14ac:dyDescent="0.25">
      <c r="C58" s="164"/>
      <c r="D58" s="164"/>
      <c r="E58" s="164"/>
      <c r="F58" s="164"/>
      <c r="G58" s="164"/>
      <c r="H58" s="164"/>
      <c r="I58" s="193"/>
      <c r="J58" s="164"/>
      <c r="K58" s="164"/>
      <c r="L58" s="164"/>
      <c r="M58" s="164"/>
      <c r="N58" s="164"/>
      <c r="O58" s="164"/>
      <c r="R58" s="164"/>
      <c r="S58" s="164"/>
    </row>
    <row r="59" ht="18.75" customHeight="1" spans="3:19" x14ac:dyDescent="0.25">
      <c r="C59" s="194"/>
      <c r="D59" s="194"/>
      <c r="E59" s="195" t="s">
        <v>133</v>
      </c>
      <c r="F59" s="195"/>
      <c r="G59" s="195"/>
      <c r="H59" s="195"/>
      <c r="I59" s="167"/>
      <c r="J59" s="196"/>
      <c r="K59" s="65"/>
      <c r="L59" s="65"/>
      <c r="M59" s="65"/>
      <c r="N59" s="65"/>
      <c r="O59" s="65"/>
      <c r="R59" s="164"/>
      <c r="S59" s="164"/>
    </row>
    <row r="60" ht="13.5" customHeight="1" spans="3:15" x14ac:dyDescent="0.25">
      <c r="C60" s="180"/>
      <c r="D60" s="197"/>
      <c r="E60" s="197"/>
      <c r="F60" s="197"/>
      <c r="G60" s="197"/>
      <c r="H60" s="197"/>
      <c r="I60" s="197"/>
      <c r="J60" s="198"/>
      <c r="K60" s="65"/>
      <c r="L60" s="65"/>
      <c r="M60" s="65"/>
      <c r="N60" s="65"/>
      <c r="O60" s="65"/>
    </row>
    <row r="61" ht="18.75" customHeight="1" spans="3:17" x14ac:dyDescent="0.25">
      <c r="C61" s="60">
        <f>100-(2*((C53*C53)+(6.5*C53)-7.5))</f>
        <v>78.1644444444444</v>
      </c>
      <c r="D61" s="199" t="s">
        <v>134</v>
      </c>
      <c r="E61" s="199"/>
      <c r="F61" s="199"/>
      <c r="G61" s="199"/>
      <c r="H61" s="200" t="s">
        <v>135</v>
      </c>
      <c r="I61" s="201"/>
      <c r="J61" s="202"/>
      <c r="K61" s="65"/>
      <c r="L61" s="65"/>
      <c r="M61" s="65"/>
      <c r="N61" s="65"/>
      <c r="O61" s="65"/>
      <c r="P61" s="65"/>
      <c r="Q61" s="65"/>
    </row>
    <row r="62" ht="12.75" customHeight="1" spans="3:15" x14ac:dyDescent="0.25">
      <c r="C62" s="180"/>
      <c r="D62" s="203"/>
      <c r="E62" s="203"/>
      <c r="F62" s="203"/>
      <c r="G62" s="203"/>
      <c r="H62" s="203"/>
      <c r="I62" s="203"/>
      <c r="J62" s="198"/>
      <c r="K62" s="65"/>
      <c r="L62" s="65"/>
      <c r="M62" s="65"/>
      <c r="N62" s="65"/>
      <c r="O62" s="65"/>
    </row>
    <row r="63" ht="15.75" customHeight="1" spans="3:15" x14ac:dyDescent="0.25">
      <c r="C63" s="204"/>
      <c r="D63" s="204"/>
      <c r="E63" s="203"/>
      <c r="F63" s="203"/>
      <c r="G63" s="203"/>
      <c r="H63" s="203"/>
      <c r="I63" s="203"/>
      <c r="J63" s="198"/>
      <c r="K63" s="65"/>
      <c r="L63" s="65"/>
      <c r="M63" s="65"/>
      <c r="N63" s="65"/>
      <c r="O63" s="65"/>
    </row>
    <row r="64" ht="18.75" customHeight="1" spans="3:15" x14ac:dyDescent="0.25">
      <c r="C64" s="205">
        <f>100-(2*((C56*C56)+(6.5*C56)-7.5))</f>
        <v>50.32</v>
      </c>
      <c r="D64" s="206" t="s">
        <v>136</v>
      </c>
      <c r="E64" s="206"/>
      <c r="F64" s="206"/>
      <c r="G64" s="206"/>
      <c r="H64" s="200" t="s">
        <v>137</v>
      </c>
      <c r="I64" s="207"/>
      <c r="J64" s="198"/>
      <c r="K64" s="208"/>
      <c r="L64" s="208"/>
      <c r="M64" s="65"/>
      <c r="N64" s="65"/>
      <c r="O64" s="65"/>
    </row>
    <row r="65" ht="13.5" customHeight="1" spans="3:14" x14ac:dyDescent="0.25">
      <c r="C65" s="209"/>
      <c r="D65" s="210"/>
      <c r="E65" s="210"/>
      <c r="F65" s="210"/>
      <c r="G65" s="210"/>
      <c r="H65" s="210"/>
      <c r="I65" s="197"/>
      <c r="J65" s="211"/>
      <c r="K65" s="65"/>
      <c r="L65" s="65"/>
      <c r="M65" s="65"/>
      <c r="N65" s="65"/>
    </row>
  </sheetData>
  <mergeCells count="138">
    <mergeCell ref="B3:C3"/>
    <mergeCell ref="D3:F3"/>
    <mergeCell ref="H3:M3"/>
    <mergeCell ref="N3:O3"/>
    <mergeCell ref="B4:C4"/>
    <mergeCell ref="D4:F4"/>
    <mergeCell ref="H4:M4"/>
    <mergeCell ref="N4:Q4"/>
    <mergeCell ref="R4:S4"/>
    <mergeCell ref="B5:H5"/>
    <mergeCell ref="M5:Y5"/>
    <mergeCell ref="B7:D7"/>
    <mergeCell ref="E7:F7"/>
    <mergeCell ref="M7:N7"/>
    <mergeCell ref="O7:P7"/>
    <mergeCell ref="R7:S7"/>
    <mergeCell ref="B9:Y9"/>
    <mergeCell ref="C11:D11"/>
    <mergeCell ref="F11:G11"/>
    <mergeCell ref="N11:O11"/>
    <mergeCell ref="C12:D12"/>
    <mergeCell ref="F12:G12"/>
    <mergeCell ref="N12:O12"/>
    <mergeCell ref="C13:D13"/>
    <mergeCell ref="F13:G13"/>
    <mergeCell ref="N13:O13"/>
    <mergeCell ref="C14:D14"/>
    <mergeCell ref="F14:G14"/>
    <mergeCell ref="N14:O14"/>
    <mergeCell ref="C15:D15"/>
    <mergeCell ref="F15:G15"/>
    <mergeCell ref="N15:O15"/>
    <mergeCell ref="C16:D16"/>
    <mergeCell ref="F16:G16"/>
    <mergeCell ref="N16:O16"/>
    <mergeCell ref="C17:D17"/>
    <mergeCell ref="F17:G17"/>
    <mergeCell ref="N17:O17"/>
    <mergeCell ref="C18:D18"/>
    <mergeCell ref="F18:G18"/>
    <mergeCell ref="N18:O18"/>
    <mergeCell ref="C19:D19"/>
    <mergeCell ref="F19:G19"/>
    <mergeCell ref="N19:O19"/>
    <mergeCell ref="C20:D20"/>
    <mergeCell ref="F20:G20"/>
    <mergeCell ref="N20:O20"/>
    <mergeCell ref="C21:D21"/>
    <mergeCell ref="F21:G21"/>
    <mergeCell ref="N21:O21"/>
    <mergeCell ref="C22:D22"/>
    <mergeCell ref="F22:G22"/>
    <mergeCell ref="N22:O22"/>
    <mergeCell ref="C23:D23"/>
    <mergeCell ref="F23:G23"/>
    <mergeCell ref="N23:O23"/>
    <mergeCell ref="C24:D24"/>
    <mergeCell ref="F24:G24"/>
    <mergeCell ref="N24:O24"/>
    <mergeCell ref="C25:D25"/>
    <mergeCell ref="F25:G25"/>
    <mergeCell ref="N25:O25"/>
    <mergeCell ref="C26:D26"/>
    <mergeCell ref="F26:G26"/>
    <mergeCell ref="N26:O26"/>
    <mergeCell ref="C27:D27"/>
    <mergeCell ref="F27:G27"/>
    <mergeCell ref="N27:O27"/>
    <mergeCell ref="C28:D28"/>
    <mergeCell ref="F28:G28"/>
    <mergeCell ref="N28:O28"/>
    <mergeCell ref="C29:D29"/>
    <mergeCell ref="F29:G29"/>
    <mergeCell ref="N29:O29"/>
    <mergeCell ref="C30:D30"/>
    <mergeCell ref="F30:G30"/>
    <mergeCell ref="N30:O30"/>
    <mergeCell ref="C31:D31"/>
    <mergeCell ref="F31:G31"/>
    <mergeCell ref="N31:O31"/>
    <mergeCell ref="C32:D32"/>
    <mergeCell ref="F32:G32"/>
    <mergeCell ref="N32:O32"/>
    <mergeCell ref="C33:D33"/>
    <mergeCell ref="F33:G33"/>
    <mergeCell ref="N33:O33"/>
    <mergeCell ref="C34:D34"/>
    <mergeCell ref="F34:G34"/>
    <mergeCell ref="N34:O34"/>
    <mergeCell ref="C35:D35"/>
    <mergeCell ref="F35:G35"/>
    <mergeCell ref="N35:O35"/>
    <mergeCell ref="C36:D36"/>
    <mergeCell ref="F36:G36"/>
    <mergeCell ref="N36:O36"/>
    <mergeCell ref="C37:D37"/>
    <mergeCell ref="F37:G37"/>
    <mergeCell ref="N37:O37"/>
    <mergeCell ref="C38:D38"/>
    <mergeCell ref="F38:G38"/>
    <mergeCell ref="N38:O38"/>
    <mergeCell ref="C39:D39"/>
    <mergeCell ref="F39:G39"/>
    <mergeCell ref="N39:O39"/>
    <mergeCell ref="C40:D40"/>
    <mergeCell ref="F40:G40"/>
    <mergeCell ref="N40:O40"/>
    <mergeCell ref="C41:D41"/>
    <mergeCell ref="F41:G41"/>
    <mergeCell ref="N41:O41"/>
    <mergeCell ref="C42:D42"/>
    <mergeCell ref="F42:G42"/>
    <mergeCell ref="N42:O42"/>
    <mergeCell ref="C43:D43"/>
    <mergeCell ref="F43:G43"/>
    <mergeCell ref="N43:O43"/>
    <mergeCell ref="C44:D44"/>
    <mergeCell ref="F44:G44"/>
    <mergeCell ref="N44:O44"/>
    <mergeCell ref="C45:D45"/>
    <mergeCell ref="F45:G45"/>
    <mergeCell ref="N45:O45"/>
    <mergeCell ref="C46:D46"/>
    <mergeCell ref="F46:G46"/>
    <mergeCell ref="N46:O46"/>
    <mergeCell ref="C47:D47"/>
    <mergeCell ref="F47:G47"/>
    <mergeCell ref="N47:O47"/>
    <mergeCell ref="C48:D48"/>
    <mergeCell ref="F48:G48"/>
    <mergeCell ref="N48:O48"/>
    <mergeCell ref="D53:F53"/>
    <mergeCell ref="D56:G56"/>
    <mergeCell ref="C59:D59"/>
    <mergeCell ref="E59:H59"/>
    <mergeCell ref="D61:G61"/>
    <mergeCell ref="C63:D63"/>
    <mergeCell ref="D64:G64"/>
  </mergeCells>
  <dataValidations count="19">
    <dataValidation type="list" allowBlank="1" showInputMessage="1" prompt="לחץ לקבלת רשימת הערכים" showErrorMessage="1" errorStyle="stop" sqref="I13:I15">
      <formula1>$W$13:$W$16</formula1>
      <formula2>0</formula2>
    </dataValidation>
    <dataValidation type="list" allowBlank="1" showInputMessage="1" prompt="לחץ לקבלת רשימת הערכים" showErrorMessage="1" errorStyle="stop" sqref="I16:I19">
      <formula1>$W$15:$W$19</formula1>
      <formula2>0</formula2>
    </dataValidation>
    <dataValidation type="list" allowBlank="1" showInputMessage="1" prompt="לחץ לקבלת רשימת הערכים" showErrorMessage="1" errorStyle="stop" sqref="I20">
      <formula1>$W$13:$W$16</formula1>
      <formula2>0</formula2>
    </dataValidation>
    <dataValidation type="list" allowBlank="1" showInputMessage="1" prompt="לחץ לקבלת רשימת הערכים" showErrorMessage="1" errorStyle="stop" sqref="I21:I49">
      <formula1>$W$15:$W$19</formula1>
      <formula2>0</formula2>
    </dataValidation>
    <dataValidation type="list" allowBlank="1" showErrorMessage="1" errorStyle="stop" sqref="I5">
      <formula1>$AC$11:$AC$21</formula1>
      <formula2>0</formula2>
    </dataValidation>
    <dataValidation type="list" allowBlank="1" showInputMessage="1" prompt="לחץ לקבלת רשימת ערכים " showErrorMessage="1" errorStyle="stop" sqref="J13:J15">
      <formula1>$X$13:$X$15</formula1>
      <formula2>0</formula2>
    </dataValidation>
    <dataValidation type="list" allowBlank="1" showInputMessage="1" prompt="לחץ לקבלת רשימת ערכים " showErrorMessage="1" errorStyle="stop" sqref="J16:J19">
      <formula1>$X$15:$X$17</formula1>
      <formula2>0</formula2>
    </dataValidation>
    <dataValidation type="list" allowBlank="1" showInputMessage="1" prompt="לחץ לקבלת רשימת ערכים " showErrorMessage="1" errorStyle="stop" sqref="J20">
      <formula1>$X$13:$X$15</formula1>
      <formula2>0</formula2>
    </dataValidation>
    <dataValidation type="list" allowBlank="1" showInputMessage="1" prompt="לחץ לקבלת רשימת ערכים " showErrorMessage="1" errorStyle="stop" sqref="J21:J23">
      <formula1>$X$15:$X$17</formula1>
      <formula2>0</formula2>
    </dataValidation>
    <dataValidation type="list" allowBlank="1" showInputMessage="1" prompt="לחץ לקבלת רשימת ערכים " showErrorMessage="1" errorStyle="stop" sqref="J24:J26">
      <formula1>$X$13:$X$15</formula1>
      <formula2>0</formula2>
    </dataValidation>
    <dataValidation type="list" allowBlank="1" showInputMessage="1" prompt="לחץ לקבלת רשימת ערכים " showErrorMessage="1" errorStyle="stop" sqref="J27">
      <formula1>$X$15:$X$17</formula1>
      <formula2>0</formula2>
    </dataValidation>
    <dataValidation type="list" allowBlank="1" showInputMessage="1" prompt="לחץ לקבלת רשימת ערכים " showErrorMessage="1" errorStyle="stop" sqref="J28">
      <formula1>$X$13:$X$15</formula1>
      <formula2>0</formula2>
    </dataValidation>
    <dataValidation type="list" allowBlank="1" showInputMessage="1" prompt="לחץ לקבלת רשימת ערכים " showErrorMessage="1" errorStyle="stop" sqref="J29:J34">
      <formula1>$X$15:$X$17</formula1>
      <formula2>0</formula2>
    </dataValidation>
    <dataValidation type="list" allowBlank="1" showInputMessage="1" prompt="לחץ לקבלת רשימת ערכים " showErrorMessage="1" errorStyle="stop" sqref="J35">
      <formula1>$X$13:$X$15</formula1>
      <formula2>0</formula2>
    </dataValidation>
    <dataValidation type="list" allowBlank="1" showInputMessage="1" prompt="לחץ לקבלת רשימת ערכים " showErrorMessage="1" errorStyle="stop" sqref="J36">
      <formula1>$X$15:$X$17</formula1>
      <formula2>0</formula2>
    </dataValidation>
    <dataValidation type="list" allowBlank="1" showInputMessage="1" prompt="לחץ לקבלת רשימת ערכים " showErrorMessage="1" errorStyle="stop" sqref="J37:J39">
      <formula1>$X$13:$X$15</formula1>
      <formula2>0</formula2>
    </dataValidation>
    <dataValidation type="list" allowBlank="1" showInputMessage="1" prompt="לחץ לקבלת רשימת ערכים " showErrorMessage="1" errorStyle="stop" sqref="J40">
      <formula1>$X$15:$X$17</formula1>
      <formula2>0</formula2>
    </dataValidation>
    <dataValidation type="list" allowBlank="1" showInputMessage="1" prompt="לחץ לקבלת רשימת ערכים " showErrorMessage="1" errorStyle="stop" sqref="J41">
      <formula1>$X$13:$X$15</formula1>
      <formula2>0</formula2>
    </dataValidation>
    <dataValidation type="list" allowBlank="1" showInputMessage="1" prompt="לחץ לקבלת רשימת ערכים " showErrorMessage="1" errorStyle="stop" sqref="J42:J49">
      <formula1>$X$15:$X$17</formula1>
      <formula2>0</formula2>
    </dataValidation>
  </dataValidations>
  <pageMargins left="0.708333333333333" right="0.708333333333333" top="0.748611111111111" bottom="0.748611111111111" header="0.315277777777778" footer="0.315277777777778"/>
  <pageSetup paperSize="9" orientation="portrait" horizontalDpi="300" verticalDpi="300" scale="100" fitToWidth="1" fitToHeight="0" firstPageNumber="1" useFirstPageNumber="1" copies="1"/>
  <headerFooter>
    <oddHeader>&amp;L&amp;D</oddHead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4"/>
  <sheetViews>
    <sheetView workbookViewId="0" zoomScale="90" zoomScaleNormal="100" view="pageBreakPreview">
      <selection activeCell="H44" sqref="H44"/>
    </sheetView>
  </sheetViews>
  <sheetFormatPr defaultRowHeight="12.75" outlineLevelRow="0" outlineLevelCol="0" x14ac:dyDescent="0" defaultColWidth="9.13671875" customHeight="1"/>
  <cols>
    <col min="1" max="1" width="2.7" style="65" customWidth="1"/>
    <col min="2" max="2" width="8.56" style="65" customWidth="1"/>
    <col min="3" max="3" width="9.7" style="65" customWidth="1"/>
    <col min="4" max="4" width="11.99" style="65" customWidth="1"/>
    <col min="5" max="5" width="9.7" style="65" customWidth="1"/>
    <col min="6" max="6" width="5.28" style="65" customWidth="1"/>
    <col min="7" max="7" width="10.56" style="65" customWidth="1"/>
    <col min="8" max="8" width="8.85" style="65" customWidth="1"/>
    <col min="9" max="9" width="10.99" style="65" customWidth="1"/>
    <col min="10" max="10" width="8.41" style="65" customWidth="1"/>
    <col min="11" max="11" width="9.85" style="65" hidden="1" customWidth="1"/>
    <col min="12" max="12" width="9.7" style="65" hidden="1" customWidth="1"/>
    <col min="13" max="13" width="5.85" style="65" customWidth="1"/>
    <col min="14" max="14" width="5.28" style="65" customWidth="1"/>
    <col min="15" max="15" width="7.28" style="65" customWidth="1"/>
    <col min="16" max="16" width="7.56" style="65" hidden="1" customWidth="1"/>
    <col min="17" max="17" width="7.56" style="65" customWidth="1"/>
    <col min="18" max="18" width="7.99" style="65" customWidth="1"/>
    <col min="19" max="19" width="7.56" style="65" customWidth="1"/>
    <col min="20" max="22" width="9.06" style="65" hidden="1" customWidth="1"/>
    <col min="23" max="23" width="10.28" style="65" hidden="1" customWidth="1"/>
    <col min="24" max="24" width="9.06" style="65" hidden="1" customWidth="1"/>
    <col min="25" max="25" width="13.85" style="65" customWidth="1"/>
    <col min="26" max="26" width="2.7" style="65" customWidth="1"/>
    <col min="27" max="28" width="9.14" style="65" customWidth="1"/>
    <col min="29" max="29" width="9.06" style="65" hidden="1" customWidth="1"/>
    <col min="30" max="257" width="9.14" style="65" customWidth="1"/>
  </cols>
  <sheetData>
    <row r="1" ht="18" customHeight="1" spans="1:257" x14ac:dyDescent="0.25">
      <c r="A1" s="66"/>
      <c r="B1" s="67" t="s">
        <v>35</v>
      </c>
      <c r="C1" s="68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</row>
    <row r="2" ht="13.5" customHeight="1" spans="1:257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  <c r="GT2" s="66"/>
      <c r="GU2" s="66"/>
      <c r="GV2" s="66"/>
      <c r="GW2" s="66"/>
      <c r="GX2" s="66"/>
      <c r="GY2" s="66"/>
      <c r="GZ2" s="66"/>
      <c r="HA2" s="66"/>
      <c r="HB2" s="66"/>
      <c r="HC2" s="66"/>
      <c r="HD2" s="66"/>
      <c r="HE2" s="66"/>
      <c r="HF2" s="66"/>
      <c r="HG2" s="66"/>
      <c r="HH2" s="66"/>
      <c r="HI2" s="66"/>
      <c r="HJ2" s="66"/>
      <c r="HK2" s="66"/>
      <c r="HL2" s="66"/>
      <c r="HM2" s="66"/>
      <c r="HN2" s="66"/>
      <c r="HO2" s="66"/>
      <c r="HP2" s="66"/>
      <c r="HQ2" s="66"/>
      <c r="HR2" s="66"/>
      <c r="HS2" s="66"/>
      <c r="HT2" s="66"/>
      <c r="HU2" s="66"/>
      <c r="HV2" s="66"/>
      <c r="HW2" s="66"/>
      <c r="HX2" s="66"/>
      <c r="HY2" s="66"/>
      <c r="HZ2" s="66"/>
      <c r="IA2" s="66"/>
      <c r="IB2" s="66"/>
      <c r="IC2" s="66"/>
      <c r="ID2" s="66"/>
      <c r="IE2" s="66"/>
      <c r="IF2" s="66"/>
      <c r="IG2" s="66"/>
      <c r="IH2" s="66"/>
      <c r="II2" s="66"/>
      <c r="IJ2" s="66"/>
      <c r="IK2" s="66"/>
      <c r="IL2" s="66"/>
      <c r="IM2" s="66"/>
      <c r="IN2" s="66"/>
      <c r="IO2" s="66"/>
      <c r="IP2" s="66"/>
      <c r="IQ2" s="66"/>
      <c r="IR2" s="66"/>
      <c r="IS2" s="66"/>
      <c r="IT2" s="66"/>
      <c r="IU2" s="66"/>
      <c r="IV2" s="66"/>
      <c r="IW2" s="66"/>
    </row>
    <row r="3" ht="14.25" customHeight="1" spans="1:257" x14ac:dyDescent="0.25">
      <c r="A3" s="66"/>
      <c r="B3" s="70" t="s">
        <v>1</v>
      </c>
      <c r="C3" s="70"/>
      <c r="D3" s="71">
        <v>13</v>
      </c>
      <c r="E3" s="71"/>
      <c r="F3" s="71"/>
      <c r="G3" s="72" t="s">
        <v>2</v>
      </c>
      <c r="H3" s="73" t="s">
        <v>3</v>
      </c>
      <c r="I3" s="73"/>
      <c r="J3" s="73"/>
      <c r="K3" s="73"/>
      <c r="L3" s="73"/>
      <c r="M3" s="73"/>
      <c r="N3" s="74"/>
      <c r="O3" s="74"/>
      <c r="P3" s="75"/>
      <c r="Q3" s="75"/>
      <c r="R3" s="76"/>
      <c r="S3" s="75"/>
      <c r="T3" s="77"/>
      <c r="U3" s="78"/>
      <c r="V3" s="79"/>
      <c r="W3" s="79"/>
      <c r="X3" s="79"/>
      <c r="Y3" s="80"/>
      <c r="Z3" s="81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/>
      <c r="FG3" s="66"/>
      <c r="FH3" s="66"/>
      <c r="FI3" s="66"/>
      <c r="FJ3" s="66"/>
      <c r="FK3" s="66"/>
      <c r="FL3" s="66"/>
      <c r="FM3" s="66"/>
      <c r="FN3" s="66"/>
      <c r="FO3" s="66"/>
      <c r="FP3" s="66"/>
      <c r="FQ3" s="66"/>
      <c r="FR3" s="66"/>
      <c r="FS3" s="66"/>
      <c r="FT3" s="6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6"/>
      <c r="GL3" s="66"/>
      <c r="GM3" s="66"/>
      <c r="GN3" s="66"/>
      <c r="GO3" s="66"/>
      <c r="GP3" s="66"/>
      <c r="GQ3" s="66"/>
      <c r="GR3" s="66"/>
      <c r="GS3" s="66"/>
      <c r="GT3" s="66"/>
      <c r="GU3" s="66"/>
      <c r="GV3" s="66"/>
      <c r="GW3" s="66"/>
      <c r="GX3" s="66"/>
      <c r="GY3" s="66"/>
      <c r="GZ3" s="66"/>
      <c r="HA3" s="66"/>
      <c r="HB3" s="66"/>
      <c r="HC3" s="66"/>
      <c r="HD3" s="66"/>
      <c r="HE3" s="66"/>
      <c r="HF3" s="66"/>
      <c r="HG3" s="66"/>
      <c r="HH3" s="66"/>
      <c r="HI3" s="66"/>
      <c r="HJ3" s="66"/>
      <c r="HK3" s="66"/>
      <c r="HL3" s="66"/>
      <c r="HM3" s="66"/>
      <c r="HN3" s="66"/>
      <c r="HO3" s="66"/>
      <c r="HP3" s="66"/>
      <c r="HQ3" s="66"/>
      <c r="HR3" s="66"/>
      <c r="HS3" s="66"/>
      <c r="HT3" s="66"/>
      <c r="HU3" s="66"/>
      <c r="HV3" s="66"/>
      <c r="HW3" s="66"/>
      <c r="HX3" s="66"/>
      <c r="HY3" s="66"/>
      <c r="HZ3" s="66"/>
      <c r="IA3" s="66"/>
      <c r="IB3" s="66"/>
      <c r="IC3" s="66"/>
      <c r="ID3" s="66"/>
      <c r="IE3" s="66"/>
      <c r="IF3" s="66"/>
      <c r="IG3" s="66"/>
      <c r="IH3" s="66"/>
      <c r="II3" s="66"/>
      <c r="IJ3" s="66"/>
      <c r="IK3" s="66"/>
      <c r="IL3" s="66"/>
      <c r="IM3" s="66"/>
      <c r="IN3" s="66"/>
      <c r="IO3" s="66"/>
      <c r="IP3" s="66"/>
      <c r="IQ3" s="66"/>
      <c r="IR3" s="66"/>
      <c r="IS3" s="66"/>
      <c r="IT3" s="66"/>
      <c r="IU3" s="66"/>
      <c r="IV3" s="66"/>
      <c r="IW3" s="66"/>
    </row>
    <row r="4" ht="14.25" customHeight="1" spans="1:257" x14ac:dyDescent="0.25">
      <c r="A4" s="66"/>
      <c r="B4" s="82" t="s">
        <v>4</v>
      </c>
      <c r="C4" s="82"/>
      <c r="D4" s="83" t="s">
        <v>5</v>
      </c>
      <c r="E4" s="83"/>
      <c r="F4" s="83"/>
      <c r="G4" s="84" t="s">
        <v>6</v>
      </c>
      <c r="H4" s="17" t="s">
        <v>7</v>
      </c>
      <c r="I4" s="17"/>
      <c r="J4" s="17"/>
      <c r="K4" s="17"/>
      <c r="L4" s="17"/>
      <c r="M4" s="17"/>
      <c r="N4" s="85" t="s">
        <v>8</v>
      </c>
      <c r="O4" s="85"/>
      <c r="P4" s="85"/>
      <c r="Q4" s="85"/>
      <c r="R4" s="86">
        <v>43148</v>
      </c>
      <c r="S4" s="86"/>
      <c r="T4" s="87"/>
      <c r="U4" s="87"/>
      <c r="V4" s="88"/>
      <c r="W4" s="88"/>
      <c r="X4" s="88"/>
      <c r="Y4" s="89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66"/>
      <c r="DZ4" s="66"/>
      <c r="EA4" s="66"/>
      <c r="EB4" s="66"/>
      <c r="EC4" s="66"/>
      <c r="ED4" s="66"/>
      <c r="EE4" s="66"/>
      <c r="EF4" s="66"/>
      <c r="EG4" s="66"/>
      <c r="EH4" s="66"/>
      <c r="EI4" s="66"/>
      <c r="EJ4" s="66"/>
      <c r="EK4" s="66"/>
      <c r="EL4" s="66"/>
      <c r="EM4" s="66"/>
      <c r="EN4" s="66"/>
      <c r="EO4" s="66"/>
      <c r="EP4" s="66"/>
      <c r="EQ4" s="66"/>
      <c r="ER4" s="66"/>
      <c r="ES4" s="66"/>
      <c r="ET4" s="66"/>
      <c r="EU4" s="66"/>
      <c r="EV4" s="66"/>
      <c r="EW4" s="66"/>
      <c r="EX4" s="66"/>
      <c r="EY4" s="66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  <c r="HE4" s="66"/>
      <c r="HF4" s="66"/>
      <c r="HG4" s="66"/>
      <c r="HH4" s="66"/>
      <c r="HI4" s="66"/>
      <c r="HJ4" s="66"/>
      <c r="HK4" s="66"/>
      <c r="HL4" s="66"/>
      <c r="HM4" s="66"/>
      <c r="HN4" s="66"/>
      <c r="HO4" s="66"/>
      <c r="HP4" s="66"/>
      <c r="HQ4" s="66"/>
      <c r="HR4" s="66"/>
      <c r="HS4" s="66"/>
      <c r="HT4" s="66"/>
      <c r="HU4" s="66"/>
      <c r="HV4" s="66"/>
      <c r="HW4" s="66"/>
      <c r="HX4" s="66"/>
      <c r="HY4" s="66"/>
      <c r="HZ4" s="66"/>
      <c r="IA4" s="66"/>
      <c r="IB4" s="66"/>
      <c r="IC4" s="66"/>
      <c r="ID4" s="66"/>
      <c r="IE4" s="66"/>
      <c r="IF4" s="66"/>
      <c r="IG4" s="66"/>
      <c r="IH4" s="66"/>
      <c r="II4" s="66"/>
      <c r="IJ4" s="66"/>
      <c r="IK4" s="66"/>
      <c r="IL4" s="66"/>
      <c r="IM4" s="66"/>
      <c r="IN4" s="66"/>
      <c r="IO4" s="66"/>
      <c r="IP4" s="66"/>
      <c r="IQ4" s="66"/>
      <c r="IR4" s="66"/>
      <c r="IS4" s="66"/>
      <c r="IT4" s="66"/>
      <c r="IU4" s="66"/>
      <c r="IV4" s="66"/>
      <c r="IW4" s="66"/>
    </row>
    <row r="5" ht="14.25" customHeight="1" spans="1:257" x14ac:dyDescent="0.25">
      <c r="A5" s="66"/>
      <c r="B5" s="90" t="s">
        <v>9</v>
      </c>
      <c r="C5" s="90"/>
      <c r="D5" s="90"/>
      <c r="E5" s="90"/>
      <c r="F5" s="90"/>
      <c r="G5" s="90"/>
      <c r="H5" s="90"/>
      <c r="I5" s="91">
        <v>5</v>
      </c>
      <c r="J5" s="92" t="s">
        <v>10</v>
      </c>
      <c r="K5" s="92"/>
      <c r="L5" s="92"/>
      <c r="M5" s="93" t="s">
        <v>36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6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6"/>
      <c r="FM5" s="66"/>
      <c r="FN5" s="66"/>
      <c r="FO5" s="66"/>
      <c r="FP5" s="66"/>
      <c r="FQ5" s="66"/>
      <c r="FR5" s="66"/>
      <c r="FS5" s="66"/>
      <c r="FT5" s="66"/>
      <c r="FU5" s="66"/>
      <c r="FV5" s="66"/>
      <c r="FW5" s="66"/>
      <c r="FX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  <c r="HE5" s="66"/>
      <c r="HF5" s="66"/>
      <c r="HG5" s="66"/>
      <c r="HH5" s="66"/>
      <c r="HI5" s="66"/>
      <c r="HJ5" s="66"/>
      <c r="HK5" s="66"/>
      <c r="HL5" s="66"/>
      <c r="HM5" s="66"/>
      <c r="HN5" s="66"/>
      <c r="HO5" s="66"/>
      <c r="HP5" s="66"/>
      <c r="HQ5" s="66"/>
      <c r="HR5" s="66"/>
      <c r="HS5" s="66"/>
      <c r="HT5" s="66"/>
      <c r="HU5" s="66"/>
      <c r="HV5" s="66"/>
      <c r="HW5" s="66"/>
      <c r="HX5" s="66"/>
      <c r="HY5" s="66"/>
      <c r="HZ5" s="66"/>
      <c r="IA5" s="66"/>
      <c r="IB5" s="66"/>
      <c r="IC5" s="66"/>
      <c r="ID5" s="66"/>
      <c r="IE5" s="66"/>
      <c r="IF5" s="66"/>
      <c r="IG5" s="66"/>
      <c r="IH5" s="66"/>
      <c r="II5" s="66"/>
      <c r="IJ5" s="66"/>
      <c r="IK5" s="66"/>
      <c r="IL5" s="66"/>
      <c r="IM5" s="66"/>
      <c r="IN5" s="66"/>
      <c r="IO5" s="66"/>
      <c r="IP5" s="66"/>
      <c r="IQ5" s="66"/>
      <c r="IR5" s="66"/>
      <c r="IS5" s="66"/>
      <c r="IT5" s="66"/>
      <c r="IU5" s="66"/>
      <c r="IV5" s="66"/>
      <c r="IW5" s="66"/>
    </row>
    <row r="6" ht="13.5" customHeight="1" hidden="1" spans="1:257" x14ac:dyDescent="0.25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</row>
    <row r="7" ht="14.25" customHeight="1" hidden="1" spans="2:25" x14ac:dyDescent="0.25">
      <c r="B7" s="94" t="s">
        <v>12</v>
      </c>
      <c r="C7" s="94"/>
      <c r="D7" s="94"/>
      <c r="E7" s="95">
        <v>1</v>
      </c>
      <c r="F7" s="95"/>
      <c r="G7" s="96" t="s">
        <v>13</v>
      </c>
      <c r="H7" s="95">
        <f>I5</f>
        <v>5</v>
      </c>
      <c r="I7" s="97" t="s">
        <v>14</v>
      </c>
      <c r="J7" s="95"/>
      <c r="K7" s="98"/>
      <c r="L7" s="98"/>
      <c r="M7" s="99" t="s">
        <v>15</v>
      </c>
      <c r="N7" s="99"/>
      <c r="O7" s="95"/>
      <c r="P7" s="95"/>
      <c r="Q7" s="100"/>
      <c r="R7" s="99" t="s">
        <v>16</v>
      </c>
      <c r="S7" s="99"/>
      <c r="T7" s="98"/>
      <c r="U7" s="98"/>
      <c r="V7" s="98"/>
      <c r="W7" s="98"/>
      <c r="X7" s="98"/>
      <c r="Y7" s="101">
        <f>O7*J7</f>
        <v>0</v>
      </c>
    </row>
    <row r="8" ht="14.25" customHeight="1" spans="1:25" x14ac:dyDescent="0.25">
      <c r="A8" s="65"/>
      <c r="B8" s="102"/>
      <c r="C8" s="103"/>
      <c r="D8" s="104"/>
      <c r="E8" s="105"/>
      <c r="F8" s="105"/>
      <c r="G8" s="106"/>
      <c r="H8" s="105"/>
      <c r="I8" s="107"/>
      <c r="J8" s="105"/>
      <c r="K8" s="65"/>
      <c r="L8" s="65"/>
      <c r="M8" s="65"/>
      <c r="N8" s="65"/>
      <c r="O8" s="105"/>
      <c r="P8" s="105"/>
      <c r="Q8" s="105"/>
      <c r="R8" s="65"/>
      <c r="S8" s="65"/>
      <c r="T8" s="65"/>
      <c r="U8" s="65"/>
      <c r="V8" s="65"/>
      <c r="W8" s="65"/>
      <c r="X8" s="65"/>
      <c r="Y8" s="105"/>
    </row>
    <row r="9" ht="16.5" customHeight="1" spans="2:25" x14ac:dyDescent="0.25">
      <c r="B9" s="108" t="s">
        <v>37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</row>
    <row r="10" ht="13.5" customHeight="1" spans="8:8" x14ac:dyDescent="0.25">
      <c r="H10" s="109"/>
    </row>
    <row r="11" ht="38.25" customHeight="1" spans="2:29" x14ac:dyDescent="0.25">
      <c r="B11" s="110" t="s">
        <v>38</v>
      </c>
      <c r="C11" s="111" t="s">
        <v>39</v>
      </c>
      <c r="D11" s="111"/>
      <c r="E11" s="112" t="s">
        <v>40</v>
      </c>
      <c r="F11" s="112" t="s">
        <v>41</v>
      </c>
      <c r="G11" s="112"/>
      <c r="H11" s="113" t="s">
        <v>42</v>
      </c>
      <c r="I11" s="111" t="s">
        <v>43</v>
      </c>
      <c r="J11" s="111" t="s">
        <v>44</v>
      </c>
      <c r="K11" s="114" t="s">
        <v>45</v>
      </c>
      <c r="L11" s="114" t="s">
        <v>46</v>
      </c>
      <c r="M11" s="111" t="s">
        <v>47</v>
      </c>
      <c r="N11" s="115" t="s">
        <v>48</v>
      </c>
      <c r="O11" s="115"/>
      <c r="P11" s="114" t="s">
        <v>49</v>
      </c>
      <c r="Q11" s="111" t="s">
        <v>50</v>
      </c>
      <c r="R11" s="111" t="s">
        <v>51</v>
      </c>
      <c r="S11" s="111" t="s">
        <v>52</v>
      </c>
      <c r="T11" s="116"/>
      <c r="U11" s="117"/>
      <c r="V11" s="117"/>
      <c r="W11" s="117"/>
      <c r="X11" s="117"/>
      <c r="Y11" s="118" t="s">
        <v>53</v>
      </c>
      <c r="AC11" s="119">
        <v>1</v>
      </c>
    </row>
    <row r="12" ht="41.25" customHeight="1" spans="2:29" x14ac:dyDescent="0.25">
      <c r="B12" s="120"/>
      <c r="C12" s="121"/>
      <c r="D12" s="121"/>
      <c r="E12" s="122"/>
      <c r="F12" s="123" t="s">
        <v>54</v>
      </c>
      <c r="G12" s="123"/>
      <c r="H12" s="124" t="s">
        <v>55</v>
      </c>
      <c r="I12" s="122" t="s">
        <v>56</v>
      </c>
      <c r="J12" s="122" t="s">
        <v>57</v>
      </c>
      <c r="K12" s="122" t="s">
        <v>58</v>
      </c>
      <c r="L12" s="122" t="s">
        <v>59</v>
      </c>
      <c r="M12" s="125" t="s">
        <v>60</v>
      </c>
      <c r="N12" s="126" t="s">
        <v>61</v>
      </c>
      <c r="O12" s="126"/>
      <c r="P12" s="122" t="s">
        <v>62</v>
      </c>
      <c r="Q12" s="122" t="s">
        <v>63</v>
      </c>
      <c r="R12" s="122" t="s">
        <v>64</v>
      </c>
      <c r="S12" s="122" t="s">
        <v>65</v>
      </c>
      <c r="T12" s="122" t="s">
        <v>66</v>
      </c>
      <c r="U12" s="122" t="s">
        <v>67</v>
      </c>
      <c r="V12" s="127" t="s">
        <v>68</v>
      </c>
      <c r="W12" s="122" t="s">
        <v>69</v>
      </c>
      <c r="X12" s="128" t="s">
        <v>70</v>
      </c>
      <c r="Y12" s="129"/>
      <c r="AC12" s="119">
        <v>2</v>
      </c>
    </row>
    <row r="13" ht="27" customHeight="1" spans="2:29" x14ac:dyDescent="0.25">
      <c r="B13" s="130">
        <v>1016</v>
      </c>
      <c r="C13" s="131" t="s">
        <v>71</v>
      </c>
      <c r="D13" s="131"/>
      <c r="E13" s="132" t="s">
        <v>72</v>
      </c>
      <c r="F13" s="133" t="s">
        <v>73</v>
      </c>
      <c r="G13" s="133"/>
      <c r="H13" s="134" t="s">
        <v>138</v>
      </c>
      <c r="I13" s="135">
        <v>2</v>
      </c>
      <c r="J13" s="136" t="s">
        <v>75</v>
      </c>
      <c r="K13" s="137">
        <f>IF(J13="E",0.7,IF(J13="D",0.3,IF(J13="C",0.1,0)))</f>
        <v>0</v>
      </c>
      <c r="L13" s="137">
        <f>IF(I13="רכיב לא קיים",0,I13)</f>
        <v>2</v>
      </c>
      <c r="M13" s="138">
        <f>IF(L13=5,5,K13+L13)</f>
        <v>2</v>
      </c>
      <c r="N13" s="136"/>
      <c r="O13" s="136"/>
      <c r="P13" s="137">
        <f>IF(S13=2,0,IF(S13=1.5,0.3-((M13-1)*0.3/4),IF(S13=1.2,0.6-((M13-1)*0.6/4),1.2-((M13-1)*1.2/4))))</f>
        <v>0</v>
      </c>
      <c r="Q13" s="132">
        <f>IF(M13&gt;0,P13,0)</f>
        <v>0</v>
      </c>
      <c r="R13" s="132">
        <f>IF(M13=0,0,IF(M13-Q13&gt;=1,M13-Q13,1))</f>
        <v>2</v>
      </c>
      <c r="S13" s="132">
        <v>2</v>
      </c>
      <c r="T13" s="139">
        <f>IF(M13&gt;0,S13,0)</f>
        <v>2</v>
      </c>
      <c r="U13" s="139">
        <f>IF(M13&gt;0,S13*R13,0)</f>
        <v>4</v>
      </c>
      <c r="V13" s="140">
        <f>IF(S13=2,R13,0)</f>
        <v>2</v>
      </c>
      <c r="W13" s="137" t="s">
        <v>76</v>
      </c>
      <c r="X13" s="140" t="s">
        <v>77</v>
      </c>
      <c r="Y13" s="141"/>
      <c r="AC13" s="119">
        <v>3</v>
      </c>
    </row>
    <row r="14" ht="27" customHeight="1" spans="2:29" x14ac:dyDescent="0.25">
      <c r="B14" s="142">
        <v>1002</v>
      </c>
      <c r="C14" s="143" t="s">
        <v>78</v>
      </c>
      <c r="D14" s="143"/>
      <c r="E14" s="138" t="s">
        <v>72</v>
      </c>
      <c r="F14" s="144"/>
      <c r="G14" s="144"/>
      <c r="H14" s="145" t="s">
        <v>74</v>
      </c>
      <c r="I14" s="146">
        <v>2</v>
      </c>
      <c r="J14" s="144" t="s">
        <v>75</v>
      </c>
      <c r="K14" s="147">
        <f>IF(J14="E",0.7,IF(J14="D",0.3,IF(J14="C",0.1,0)))</f>
        <v>0</v>
      </c>
      <c r="L14" s="147">
        <f>IF(I14="רכיב לא קיים",0,I14)</f>
        <v>2</v>
      </c>
      <c r="M14" s="138">
        <f>IF(L14=5,5,K14+L14)</f>
        <v>2</v>
      </c>
      <c r="N14" s="144"/>
      <c r="O14" s="144"/>
      <c r="P14" s="137">
        <f>IF(S14=2,0,IF(S14=1.5,0.3-((M14-1)*0.3/4),IF(S14=1.2,0.6-((M14-1)*0.6/4),1.2-((M14-1)*1.2/4))))</f>
        <v>0</v>
      </c>
      <c r="Q14" s="132">
        <f>IF(M14&gt;0,P14,0)</f>
        <v>0</v>
      </c>
      <c r="R14" s="132">
        <f>IF(M14=0,0,IF(M14-Q14&gt;=1,M14-Q14,1))</f>
        <v>2</v>
      </c>
      <c r="S14" s="138">
        <v>2</v>
      </c>
      <c r="T14" s="139">
        <f>IF(M14&gt;0,S14,0)</f>
        <v>2</v>
      </c>
      <c r="U14" s="139">
        <f>IF(M14&gt;0,S14*R14,0)</f>
        <v>4</v>
      </c>
      <c r="V14" s="140">
        <f>IF(S14=2,R14,0)</f>
        <v>2</v>
      </c>
      <c r="W14" s="147">
        <v>1</v>
      </c>
      <c r="X14" s="148" t="s">
        <v>75</v>
      </c>
      <c r="Y14" s="149"/>
      <c r="AC14" s="119">
        <v>4</v>
      </c>
    </row>
    <row r="15" ht="27" customHeight="1" spans="2:29" x14ac:dyDescent="0.25">
      <c r="B15" s="142">
        <v>1011</v>
      </c>
      <c r="C15" s="143" t="s">
        <v>79</v>
      </c>
      <c r="D15" s="143"/>
      <c r="E15" s="138" t="s">
        <v>72</v>
      </c>
      <c r="F15" s="144"/>
      <c r="G15" s="144"/>
      <c r="H15" s="145" t="s">
        <v>80</v>
      </c>
      <c r="I15" s="146">
        <v>2</v>
      </c>
      <c r="J15" s="144" t="s">
        <v>81</v>
      </c>
      <c r="K15" s="147">
        <f>IF(J15="E",0.7,IF(J15="D",0.3,IF(J15="C",0.1,0)))</f>
        <v>0.1</v>
      </c>
      <c r="L15" s="147">
        <f>IF(I15="רכיב לא קיים",0,I15)</f>
        <v>2</v>
      </c>
      <c r="M15" s="138">
        <f>IF(L15=5,5,K15+L15)</f>
        <v>2.1</v>
      </c>
      <c r="N15" s="144"/>
      <c r="O15" s="144"/>
      <c r="P15" s="137">
        <f>IF(S15=2,0,IF(S15=1.5,0.3-((M15-1)*0.3/4),IF(S15=1.2,0.6-((M15-1)*0.6/4),1.2-((M15-1)*1.2/4))))</f>
        <v>0</v>
      </c>
      <c r="Q15" s="132">
        <f>IF(M15&gt;0,P15,0)</f>
        <v>0</v>
      </c>
      <c r="R15" s="132">
        <f>IF(M15=0,0,IF(M15-Q15&gt;=1,M15-Q15,1))</f>
        <v>2.1</v>
      </c>
      <c r="S15" s="138">
        <v>2</v>
      </c>
      <c r="T15" s="139">
        <f>IF(M15&gt;0,S15,0)</f>
        <v>2</v>
      </c>
      <c r="U15" s="139">
        <f>IF(M15&gt;0,S15*R15,0)</f>
        <v>4.2</v>
      </c>
      <c r="V15" s="140">
        <f>IF(S15=2,R15,0)</f>
        <v>2.1</v>
      </c>
      <c r="W15" s="147">
        <v>2</v>
      </c>
      <c r="X15" s="148" t="s">
        <v>81</v>
      </c>
      <c r="Y15" s="149"/>
      <c r="AC15" s="119">
        <v>5</v>
      </c>
    </row>
    <row r="16" ht="27" customHeight="1" spans="2:29" x14ac:dyDescent="0.25">
      <c r="B16" s="142">
        <v>1004</v>
      </c>
      <c r="C16" s="150" t="s">
        <v>82</v>
      </c>
      <c r="D16" s="150"/>
      <c r="E16" s="138" t="s">
        <v>72</v>
      </c>
      <c r="F16" s="144"/>
      <c r="G16" s="144"/>
      <c r="H16" s="151"/>
      <c r="I16" s="146"/>
      <c r="J16" s="144"/>
      <c r="K16" s="147">
        <f>IF(J16="E",0.7,IF(J16="D",0.3,IF(J16="C",0.1,0)))</f>
        <v>0</v>
      </c>
      <c r="L16" s="147">
        <f>IF(I16="רכיב לא קיים",0,I16)</f>
        <v>0</v>
      </c>
      <c r="M16" s="138">
        <f>IF(L16=5,5,K16+L16)</f>
        <v>0</v>
      </c>
      <c r="N16" s="144"/>
      <c r="O16" s="144"/>
      <c r="P16" s="137">
        <f>IF(S16=2,0,IF(S16=1.5,0.3-((M16-1)*0.3/4),IF(S16=1.2,0.6-((M16-1)*0.6/4),1.2-((M16-1)*1.2/4))))</f>
        <v>0</v>
      </c>
      <c r="Q16" s="132">
        <f>IF(M16&gt;0,P16,0)</f>
        <v>0</v>
      </c>
      <c r="R16" s="132">
        <f>IF(M16=0,0,IF(M16-Q16&gt;=1,M16-Q16,1))</f>
        <v>0</v>
      </c>
      <c r="S16" s="138">
        <v>2</v>
      </c>
      <c r="T16" s="139">
        <f>IF(M16&gt;0,S16,0)</f>
        <v>0</v>
      </c>
      <c r="U16" s="139">
        <f>IF(M16&gt;0,S16*R16,0)</f>
        <v>0</v>
      </c>
      <c r="V16" s="140">
        <f>IF(S16=2,R16,0)</f>
        <v>0</v>
      </c>
      <c r="W16" s="147">
        <v>3</v>
      </c>
      <c r="X16" s="148" t="s">
        <v>83</v>
      </c>
      <c r="Y16" s="149" t="s">
        <v>84</v>
      </c>
      <c r="AC16" s="119">
        <v>6</v>
      </c>
    </row>
    <row r="17" ht="27" customHeight="1" spans="2:29" x14ac:dyDescent="0.25">
      <c r="B17" s="142">
        <v>1005</v>
      </c>
      <c r="C17" s="143" t="s">
        <v>85</v>
      </c>
      <c r="D17" s="143"/>
      <c r="E17" s="138" t="s">
        <v>72</v>
      </c>
      <c r="F17" s="144"/>
      <c r="G17" s="144"/>
      <c r="H17" s="151"/>
      <c r="I17" s="146"/>
      <c r="J17" s="144"/>
      <c r="K17" s="147">
        <f>IF(J17="E",0.7,IF(J17="D",0.3,IF(J17="C",0.1,0)))</f>
        <v>0</v>
      </c>
      <c r="L17" s="147">
        <f>IF(I17="רכיב לא קיים",0,I17)</f>
        <v>0</v>
      </c>
      <c r="M17" s="138">
        <f>IF(L17=5,5,K17+L17)</f>
        <v>0</v>
      </c>
      <c r="N17" s="144"/>
      <c r="O17" s="144"/>
      <c r="P17" s="137">
        <f>IF(S17=2,0,IF(S17=1.5,0.3-((M17-1)*0.3/4),IF(S17=1.2,0.6-((M17-1)*0.6/4),1.2-((M17-1)*1.2/4))))</f>
        <v>0</v>
      </c>
      <c r="Q17" s="132">
        <f>IF(M17&gt;0,P17,0)</f>
        <v>0</v>
      </c>
      <c r="R17" s="132">
        <f>IF(M17=0,0,IF(M17-Q17&gt;=1,M17-Q17,1))</f>
        <v>0</v>
      </c>
      <c r="S17" s="138">
        <v>2</v>
      </c>
      <c r="T17" s="139">
        <f>IF(M17&gt;0,S17,0)</f>
        <v>0</v>
      </c>
      <c r="U17" s="139">
        <f>IF(M17&gt;0,S17*R17,0)</f>
        <v>0</v>
      </c>
      <c r="V17" s="140">
        <f>IF(S17=2,R17,0)</f>
        <v>0</v>
      </c>
      <c r="W17" s="147">
        <v>4</v>
      </c>
      <c r="X17" s="148" t="s">
        <v>86</v>
      </c>
      <c r="Y17" s="149" t="s">
        <v>84</v>
      </c>
      <c r="AC17" s="119">
        <v>7</v>
      </c>
    </row>
    <row r="18" ht="27" customHeight="1" spans="2:29" x14ac:dyDescent="0.25">
      <c r="B18" s="142">
        <v>1007</v>
      </c>
      <c r="C18" s="143" t="s">
        <v>87</v>
      </c>
      <c r="D18" s="143"/>
      <c r="E18" s="138" t="s">
        <v>72</v>
      </c>
      <c r="F18" s="144"/>
      <c r="G18" s="144"/>
      <c r="H18" s="151"/>
      <c r="I18" s="146"/>
      <c r="J18" s="144"/>
      <c r="K18" s="147">
        <f>IF(J18="E",0.7,IF(J18="D",0.3,IF(J18="C",0.1,0)))</f>
        <v>0</v>
      </c>
      <c r="L18" s="147">
        <f>IF(I18="רכיב לא קיים",0,I18)</f>
        <v>0</v>
      </c>
      <c r="M18" s="138">
        <f>IF(L18=5,5,K18+L18)</f>
        <v>0</v>
      </c>
      <c r="N18" s="144"/>
      <c r="O18" s="144"/>
      <c r="P18" s="137">
        <f>IF(S18=2,0,IF(S18=1.5,0.3-((M18-1)*0.3/4),IF(S18=1.2,0.6-((M18-1)*0.6/4),1.2-((M18-1)*1.2/4))))</f>
        <v>0</v>
      </c>
      <c r="Q18" s="132">
        <f>IF(M18&gt;0,P18,0)</f>
        <v>0</v>
      </c>
      <c r="R18" s="132">
        <f>IF(M18=0,0,IF(M18-Q18&gt;=1,M18-Q18,1))</f>
        <v>0</v>
      </c>
      <c r="S18" s="138">
        <v>2</v>
      </c>
      <c r="T18" s="139">
        <f>IF(M18&gt;0,S18,0)</f>
        <v>0</v>
      </c>
      <c r="U18" s="139">
        <f>IF(M18&gt;0,S18*R18,0)</f>
        <v>0</v>
      </c>
      <c r="V18" s="140">
        <f>IF(S18=2,R18,0)</f>
        <v>0</v>
      </c>
      <c r="W18" s="147">
        <v>4</v>
      </c>
      <c r="X18" s="148" t="s">
        <v>86</v>
      </c>
      <c r="Y18" s="149" t="s">
        <v>84</v>
      </c>
      <c r="AC18" s="119">
        <v>7</v>
      </c>
    </row>
    <row r="19" ht="27" customHeight="1" spans="2:29" x14ac:dyDescent="0.25">
      <c r="B19" s="142">
        <v>1006</v>
      </c>
      <c r="C19" s="150" t="s">
        <v>88</v>
      </c>
      <c r="D19" s="150"/>
      <c r="E19" s="138" t="s">
        <v>72</v>
      </c>
      <c r="F19" s="144"/>
      <c r="G19" s="144"/>
      <c r="H19" s="145" t="s">
        <v>139</v>
      </c>
      <c r="I19" s="146">
        <v>2</v>
      </c>
      <c r="J19" s="144" t="s">
        <v>81</v>
      </c>
      <c r="K19" s="147">
        <f>IF(J19="E",0.7,IF(J19="D",0.3,IF(J19="C",0.1,0)))</f>
        <v>0.1</v>
      </c>
      <c r="L19" s="147">
        <f>IF(I19="רכיב לא קיים",0,I19)</f>
        <v>2</v>
      </c>
      <c r="M19" s="212">
        <f>IF(L19=5,5,K19+L19)</f>
        <v>2.1</v>
      </c>
      <c r="N19" s="144"/>
      <c r="O19" s="144"/>
      <c r="P19" s="137">
        <f>IF(S19=2,0,IF(S19=1.5,0.3-((M19-1)*0.3/4),IF(S19=1.2,0.6-((M19-1)*0.6/4),1.2-((M19-1)*1.2/4))))</f>
        <v>0</v>
      </c>
      <c r="Q19" s="132">
        <f>IF(M19&gt;0,P19,0)</f>
        <v>0</v>
      </c>
      <c r="R19" s="132">
        <f>IF(M19=0,0,IF(M19-Q19&gt;=1,M19-Q19,1))</f>
        <v>2.1</v>
      </c>
      <c r="S19" s="138">
        <v>2</v>
      </c>
      <c r="T19" s="139">
        <f>IF(M19&gt;0,S19,0)</f>
        <v>2</v>
      </c>
      <c r="U19" s="139">
        <f>IF(M19&gt;0,S19*R19,0)</f>
        <v>4.2</v>
      </c>
      <c r="V19" s="140">
        <f>IF(S19=2,R19,0)</f>
        <v>2.1</v>
      </c>
      <c r="W19" s="147">
        <v>5</v>
      </c>
      <c r="X19" s="148"/>
      <c r="Y19" s="149"/>
      <c r="AC19" s="119">
        <v>8</v>
      </c>
    </row>
    <row r="20" ht="27" customHeight="1" spans="2:29" x14ac:dyDescent="0.25">
      <c r="B20" s="142">
        <v>6008</v>
      </c>
      <c r="C20" s="150" t="s">
        <v>89</v>
      </c>
      <c r="D20" s="150"/>
      <c r="E20" s="138" t="s">
        <v>90</v>
      </c>
      <c r="F20" s="144"/>
      <c r="G20" s="144"/>
      <c r="H20" s="145"/>
      <c r="I20" s="146"/>
      <c r="J20" s="144"/>
      <c r="K20" s="147">
        <f>IF(J20="E",0.7,IF(J20="D",0.3,IF(J20="C",0.1,0)))</f>
        <v>0</v>
      </c>
      <c r="L20" s="147">
        <f>IF(I20="רכיב לא קיים",0,I20)</f>
        <v>0</v>
      </c>
      <c r="M20" s="138">
        <f>IF(L20=5,5,K20+L20)</f>
        <v>0</v>
      </c>
      <c r="N20" s="144"/>
      <c r="O20" s="144"/>
      <c r="P20" s="137">
        <f>IF(S20=2,0,IF(S20=1.5,0.3-((M20-1)*0.3/4),IF(S20=1.2,0.6-((M20-1)*0.6/4),1.2-((M20-1)*1.2/4))))</f>
        <v>0.375</v>
      </c>
      <c r="Q20" s="132">
        <f>IF(M20&gt;0,P20,0)</f>
        <v>0</v>
      </c>
      <c r="R20" s="132">
        <f>IF(M20=0,0,IF(M20-Q20&gt;=1,M20-Q20,1))</f>
        <v>0</v>
      </c>
      <c r="S20" s="138">
        <v>1.5</v>
      </c>
      <c r="T20" s="139">
        <f>IF(M20&gt;0,S20,0)</f>
        <v>0</v>
      </c>
      <c r="U20" s="139">
        <f>IF(M20&gt;0,S20*R20,0)</f>
        <v>0</v>
      </c>
      <c r="V20" s="140">
        <f>IF(S20=2,R20,0)</f>
        <v>0</v>
      </c>
      <c r="W20" s="65"/>
      <c r="X20" s="65"/>
      <c r="Y20" s="149"/>
      <c r="AC20" s="119">
        <v>9</v>
      </c>
    </row>
    <row r="21" ht="27" customHeight="1" spans="2:29" x14ac:dyDescent="0.25">
      <c r="B21" s="142">
        <v>2001</v>
      </c>
      <c r="C21" s="143" t="s">
        <v>91</v>
      </c>
      <c r="D21" s="143"/>
      <c r="E21" s="138" t="s">
        <v>90</v>
      </c>
      <c r="F21" s="144"/>
      <c r="G21" s="144"/>
      <c r="H21" s="151"/>
      <c r="I21" s="146"/>
      <c r="J21" s="144"/>
      <c r="K21" s="147">
        <f>IF(J21="E",0.7,IF(J21="D",0.3,IF(J21="C",0.1,0)))</f>
        <v>0</v>
      </c>
      <c r="L21" s="147">
        <f>IF(I21="רכיב לא קיים",0,I21)</f>
        <v>0</v>
      </c>
      <c r="M21" s="138">
        <f>IF(L21=5,5,K21+L21)</f>
        <v>0</v>
      </c>
      <c r="N21" s="144"/>
      <c r="O21" s="144"/>
      <c r="P21" s="137">
        <f>IF(S21=2,0,IF(S21=1.5,0.3-((M21-1)*0.3/4),IF(S21=1.2,0.6-((M21-1)*0.6/4),1.2-((M21-1)*1.2/4))))</f>
        <v>0.375</v>
      </c>
      <c r="Q21" s="132">
        <f>IF(M21&gt;0,P21,0)</f>
        <v>0</v>
      </c>
      <c r="R21" s="132">
        <f>IF(M21=0,0,IF(M21-Q21&gt;=1,M21-Q21,1))</f>
        <v>0</v>
      </c>
      <c r="S21" s="138">
        <v>1.5</v>
      </c>
      <c r="T21" s="139">
        <f>IF(M21&gt;0,S21,0)</f>
        <v>0</v>
      </c>
      <c r="U21" s="139">
        <f>IF(M21&gt;0,S21*R21,0)</f>
        <v>0</v>
      </c>
      <c r="V21" s="140">
        <f>IF(S21=2,R21,0)</f>
        <v>0</v>
      </c>
      <c r="W21" s="65"/>
      <c r="X21" s="65"/>
      <c r="Y21" s="152" t="s">
        <v>92</v>
      </c>
      <c r="AC21" s="119">
        <v>10</v>
      </c>
    </row>
    <row r="22" ht="27" customHeight="1" spans="2:25" x14ac:dyDescent="0.25">
      <c r="B22" s="142">
        <v>2002</v>
      </c>
      <c r="C22" s="143" t="s">
        <v>93</v>
      </c>
      <c r="D22" s="143"/>
      <c r="E22" s="138" t="s">
        <v>90</v>
      </c>
      <c r="F22" s="144"/>
      <c r="G22" s="144"/>
      <c r="H22" s="145"/>
      <c r="I22" s="146"/>
      <c r="J22" s="144"/>
      <c r="K22" s="147">
        <f>IF(J22="E",0.7,IF(J22="D",0.3,IF(J22="C",0.1,0)))</f>
        <v>0</v>
      </c>
      <c r="L22" s="147">
        <f>IF(I22="רכיב לא קיים",0,I22)</f>
        <v>0</v>
      </c>
      <c r="M22" s="138">
        <f>IF(L22=5,5,K22+L22)</f>
        <v>0</v>
      </c>
      <c r="N22" s="144"/>
      <c r="O22" s="144"/>
      <c r="P22" s="137">
        <f>IF(S22=2,0,IF(S22=1.5,0.3-((M22-1)*0.3/4),IF(S22=1.2,0.6-((M22-1)*0.6/4),1.2-((M22-1)*1.2/4))))</f>
        <v>0.375</v>
      </c>
      <c r="Q22" s="132">
        <f>IF(M22&gt;0,P22,0)</f>
        <v>0</v>
      </c>
      <c r="R22" s="132">
        <f>IF(M22=0,0,IF(M22-Q22&gt;=1,M22-Q22,1))</f>
        <v>0</v>
      </c>
      <c r="S22" s="138">
        <v>1.5</v>
      </c>
      <c r="T22" s="139">
        <f>IF(M22&gt;0,S22,0)</f>
        <v>0</v>
      </c>
      <c r="U22" s="139">
        <f>IF(M22&gt;0,S22*R22,0)</f>
        <v>0</v>
      </c>
      <c r="V22" s="140">
        <f>IF(S22=2,R22,0)</f>
        <v>0</v>
      </c>
      <c r="W22" s="65"/>
      <c r="X22" s="65"/>
      <c r="Y22" s="149" t="s">
        <v>84</v>
      </c>
    </row>
    <row r="23" ht="27" customHeight="1" spans="2:25" x14ac:dyDescent="0.25">
      <c r="B23" s="142">
        <v>2003</v>
      </c>
      <c r="C23" s="150" t="s">
        <v>95</v>
      </c>
      <c r="D23" s="150"/>
      <c r="E23" s="138" t="s">
        <v>90</v>
      </c>
      <c r="F23" s="144"/>
      <c r="G23" s="144"/>
      <c r="H23" s="151"/>
      <c r="I23" s="146"/>
      <c r="J23" s="144"/>
      <c r="K23" s="147">
        <f>IF(J23="E",0.7,IF(J23="D",0.3,IF(J23="C",0.1,0)))</f>
        <v>0</v>
      </c>
      <c r="L23" s="147">
        <f>IF(I23="רכיב לא קיים",0,I23)</f>
        <v>0</v>
      </c>
      <c r="M23" s="138">
        <f>IF(L23=5,5,K23+L23)</f>
        <v>0</v>
      </c>
      <c r="N23" s="144"/>
      <c r="O23" s="144"/>
      <c r="P23" s="137">
        <f>IF(S23=2,0,IF(S23=1.5,0.3-((M23-1)*0.3/4),IF(S23=1.2,0.6-((M23-1)*0.6/4),1.2-((M23-1)*1.2/4))))</f>
        <v>0.375</v>
      </c>
      <c r="Q23" s="132">
        <f>IF(M23&gt;0,P23,0)</f>
        <v>0</v>
      </c>
      <c r="R23" s="132">
        <f>IF(M23=0,0,IF(M23-Q23&gt;=1,M23-Q23,1))</f>
        <v>0</v>
      </c>
      <c r="S23" s="138">
        <v>1.5</v>
      </c>
      <c r="T23" s="139">
        <f>IF(M23&gt;0,S23,0)</f>
        <v>0</v>
      </c>
      <c r="U23" s="139">
        <f>IF(M23&gt;0,S23*R23,0)</f>
        <v>0</v>
      </c>
      <c r="V23" s="140">
        <f>IF(S23=2,R23,0)</f>
        <v>0</v>
      </c>
      <c r="W23" s="65"/>
      <c r="X23" s="65"/>
      <c r="Y23" s="149" t="s">
        <v>84</v>
      </c>
    </row>
    <row r="24" ht="27" customHeight="1" spans="2:25" x14ac:dyDescent="0.25">
      <c r="B24" s="142">
        <v>2004</v>
      </c>
      <c r="C24" s="143" t="s">
        <v>96</v>
      </c>
      <c r="D24" s="143"/>
      <c r="E24" s="138" t="s">
        <v>72</v>
      </c>
      <c r="F24" s="144"/>
      <c r="G24" s="144"/>
      <c r="H24" s="145" t="s">
        <v>140</v>
      </c>
      <c r="I24" s="146">
        <v>2</v>
      </c>
      <c r="J24" s="144" t="s">
        <v>75</v>
      </c>
      <c r="K24" s="147">
        <f>IF(J24="E",0.7,IF(J24="D",0.3,IF(J24="C",0.1,0)))</f>
        <v>0</v>
      </c>
      <c r="L24" s="147">
        <f>IF(I24="רכיב לא קיים",0,I24)</f>
        <v>2</v>
      </c>
      <c r="M24" s="138">
        <f>IF(L24=5,5,K24+L24)</f>
        <v>2</v>
      </c>
      <c r="N24" s="144"/>
      <c r="O24" s="144"/>
      <c r="P24" s="147">
        <f>IF(S24=2,0,IF(S24=1.5,0.3-((M24-1)*0.3/4),IF(S24=1.2,0.6-((M24-1)*0.6/4),1.2-((M24-1)*1.2/4))))</f>
        <v>0</v>
      </c>
      <c r="Q24" s="132">
        <f>IF(M24&gt;0,P24,0)</f>
        <v>0</v>
      </c>
      <c r="R24" s="132">
        <f>IF(M24=0,0,IF(M24-Q24&gt;=1,M24-Q24,1))</f>
        <v>2</v>
      </c>
      <c r="S24" s="138">
        <v>2</v>
      </c>
      <c r="T24" s="139">
        <f>IF(M24&gt;0,S24,0)</f>
        <v>2</v>
      </c>
      <c r="U24" s="139">
        <f>IF(M24&gt;0,S24*R24,0)</f>
        <v>4</v>
      </c>
      <c r="V24" s="140">
        <f>IF(S24=2,R24,0)</f>
        <v>2</v>
      </c>
      <c r="W24" s="65"/>
      <c r="X24" s="65"/>
      <c r="Y24" s="149"/>
    </row>
    <row r="25" ht="27" customHeight="1" spans="2:25" x14ac:dyDescent="0.25">
      <c r="B25" s="142">
        <v>2005</v>
      </c>
      <c r="C25" s="150" t="s">
        <v>97</v>
      </c>
      <c r="D25" s="150"/>
      <c r="E25" s="138" t="s">
        <v>72</v>
      </c>
      <c r="F25" s="144"/>
      <c r="G25" s="144"/>
      <c r="H25" s="145" t="s">
        <v>140</v>
      </c>
      <c r="I25" s="146">
        <v>2</v>
      </c>
      <c r="J25" s="144" t="s">
        <v>81</v>
      </c>
      <c r="K25" s="147">
        <f>IF(J25="E",0.7,IF(J25="D",0.3,IF(J25="C",0.1,0)))</f>
        <v>0.1</v>
      </c>
      <c r="L25" s="147">
        <f>IF(I25="רכיב לא קיים",0,I25)</f>
        <v>2</v>
      </c>
      <c r="M25" s="138">
        <f>IF(L25=5,5,K25+L25)</f>
        <v>2.1</v>
      </c>
      <c r="N25" s="144"/>
      <c r="O25" s="144"/>
      <c r="P25" s="147">
        <f>IF(S25=2,0,IF(S25=1.5,0.3-((M25-1)*0.3/4),IF(S25=1.2,0.6-((M25-1)*0.6/4),1.2-((M25-1)*1.2/4))))</f>
        <v>0</v>
      </c>
      <c r="Q25" s="132">
        <f>IF(M25&gt;0,P25,0)</f>
        <v>0</v>
      </c>
      <c r="R25" s="132">
        <f>IF(M25=0,0,IF(M25-Q25&gt;=1,M25-Q25,1))</f>
        <v>2.1</v>
      </c>
      <c r="S25" s="138">
        <v>2</v>
      </c>
      <c r="T25" s="139">
        <f>IF(M25&gt;0,S25,0)</f>
        <v>2</v>
      </c>
      <c r="U25" s="139">
        <f>IF(M25&gt;0,S25*R25,0)</f>
        <v>4.2</v>
      </c>
      <c r="V25" s="140">
        <f>IF(S25=2,R25,0)</f>
        <v>2.1</v>
      </c>
      <c r="W25" s="65"/>
      <c r="X25" s="65"/>
      <c r="Y25" s="149"/>
    </row>
    <row r="26" ht="27" customHeight="1" spans="2:25" x14ac:dyDescent="0.25">
      <c r="B26" s="142">
        <v>2006</v>
      </c>
      <c r="C26" s="150" t="s">
        <v>98</v>
      </c>
      <c r="D26" s="150"/>
      <c r="E26" s="138" t="s">
        <v>90</v>
      </c>
      <c r="F26" s="144"/>
      <c r="G26" s="144"/>
      <c r="H26" s="145"/>
      <c r="I26" s="146"/>
      <c r="J26" s="144"/>
      <c r="K26" s="147">
        <f>IF(J26="E",0.7,IF(J26="D",0.3,IF(J26="C",0.1,0)))</f>
        <v>0</v>
      </c>
      <c r="L26" s="147">
        <f>IF(I26="רכיב לא קיים",0,I26)</f>
        <v>0</v>
      </c>
      <c r="M26" s="138">
        <f>IF(L26=5,5,K26+L26)</f>
        <v>0</v>
      </c>
      <c r="N26" s="144"/>
      <c r="O26" s="144"/>
      <c r="P26" s="147">
        <f>IF(S26=2,0,IF(S26=1.5,0.3-((M26-1)*0.3/4),IF(S26=1.2,0.6-((M26-1)*0.6/4),1.2-((M26-1)*1.2/4))))</f>
        <v>0.375</v>
      </c>
      <c r="Q26" s="132">
        <f>IF(M26&gt;0,P26,0)</f>
        <v>0</v>
      </c>
      <c r="R26" s="132">
        <f>IF(M26=0,0,IF(M26-Q26&gt;=1,M26-Q26,1))</f>
        <v>0</v>
      </c>
      <c r="S26" s="138">
        <v>1.5</v>
      </c>
      <c r="T26" s="139">
        <f>IF(M26&gt;0,S26,0)</f>
        <v>0</v>
      </c>
      <c r="U26" s="139">
        <f>IF(M26&gt;0,S26*R26,0)</f>
        <v>0</v>
      </c>
      <c r="V26" s="140">
        <f>IF(S26=2,R26,0)</f>
        <v>0</v>
      </c>
      <c r="W26" s="65"/>
      <c r="X26" s="65"/>
      <c r="Y26" s="149"/>
    </row>
    <row r="27" ht="27" customHeight="1" spans="2:25" x14ac:dyDescent="0.25">
      <c r="B27" s="142">
        <v>2007</v>
      </c>
      <c r="C27" s="150" t="s">
        <v>99</v>
      </c>
      <c r="D27" s="150"/>
      <c r="E27" s="138" t="s">
        <v>90</v>
      </c>
      <c r="F27" s="144"/>
      <c r="G27" s="144"/>
      <c r="H27" s="151"/>
      <c r="I27" s="146"/>
      <c r="J27" s="144"/>
      <c r="K27" s="147">
        <f>IF(J27="E",0.7,IF(J27="D",0.3,IF(J27="C",0.1,0)))</f>
        <v>0</v>
      </c>
      <c r="L27" s="147">
        <f>IF(I27="רכיב לא קיים",0,I27)</f>
        <v>0</v>
      </c>
      <c r="M27" s="138">
        <f>IF(L27=5,5,K27+L27)</f>
        <v>0</v>
      </c>
      <c r="N27" s="144"/>
      <c r="O27" s="144"/>
      <c r="P27" s="147">
        <f>IF(S27=2,0,IF(S27=1.5,0.3-((M27-1)*0.3/4),IF(S27=1.2,0.6-((M27-1)*0.6/4),1.2-((M27-1)*1.2/4))))</f>
        <v>0.375</v>
      </c>
      <c r="Q27" s="132">
        <f>IF(M27&gt;0,P27,0)</f>
        <v>0</v>
      </c>
      <c r="R27" s="132">
        <f>IF(M27=0,0,IF(M27-Q27&gt;=1,M27-Q27,1))</f>
        <v>0</v>
      </c>
      <c r="S27" s="138">
        <v>1.5</v>
      </c>
      <c r="T27" s="139">
        <f>IF(M27&gt;0,S27,0)</f>
        <v>0</v>
      </c>
      <c r="U27" s="139">
        <f>IF(M27&gt;0,S27*R27,0)</f>
        <v>0</v>
      </c>
      <c r="V27" s="140">
        <f>IF(S27=2,R27,0)</f>
        <v>0</v>
      </c>
      <c r="W27" s="65"/>
      <c r="X27" s="65"/>
      <c r="Y27" s="149" t="s">
        <v>84</v>
      </c>
    </row>
    <row r="28" ht="27" customHeight="1" spans="2:25" x14ac:dyDescent="0.25">
      <c r="B28" s="142">
        <v>2008</v>
      </c>
      <c r="C28" s="143" t="s">
        <v>100</v>
      </c>
      <c r="D28" s="143"/>
      <c r="E28" s="138" t="s">
        <v>101</v>
      </c>
      <c r="F28" s="144"/>
      <c r="G28" s="144"/>
      <c r="H28" s="145"/>
      <c r="I28" s="146"/>
      <c r="J28" s="144"/>
      <c r="K28" s="147">
        <f>IF(J28="E",0.7,IF(J28="D",0.3,IF(J28="C",0.1,0)))</f>
        <v>0</v>
      </c>
      <c r="L28" s="147">
        <f>IF(I28="רכיב לא קיים",0,I28)</f>
        <v>0</v>
      </c>
      <c r="M28" s="138">
        <f>IF(L28=5,5,K28+L28)</f>
        <v>0</v>
      </c>
      <c r="N28" s="144"/>
      <c r="O28" s="144"/>
      <c r="P28" s="147">
        <f>IF(S28=2,0,IF(S28=1.5,0.3-((M28-1)*0.3/4),IF(S28=1.2,0.6-((M28-1)*0.6/4),1.2-((M28-1)*1.2/4))))</f>
        <v>0.75</v>
      </c>
      <c r="Q28" s="132">
        <f>IF(M28&gt;0,P28,0)</f>
        <v>0</v>
      </c>
      <c r="R28" s="132">
        <f>IF(M28=0,0,IF(M28-Q28&gt;=1,M28-Q28,1))</f>
        <v>0</v>
      </c>
      <c r="S28" s="138">
        <v>1.2</v>
      </c>
      <c r="T28" s="139">
        <f>IF(M28&gt;0,S28,0)</f>
        <v>0</v>
      </c>
      <c r="U28" s="139">
        <f>IF(M28&gt;0,S28*R28,0)</f>
        <v>0</v>
      </c>
      <c r="V28" s="140">
        <f>IF(S28=2,R28,0)</f>
        <v>0</v>
      </c>
      <c r="W28" s="65"/>
      <c r="X28" s="65"/>
      <c r="Y28" s="149"/>
    </row>
    <row r="29" ht="27" customHeight="1" spans="2:25" x14ac:dyDescent="0.25">
      <c r="B29" s="142">
        <v>3001</v>
      </c>
      <c r="C29" s="150" t="s">
        <v>102</v>
      </c>
      <c r="D29" s="150"/>
      <c r="E29" s="138" t="s">
        <v>101</v>
      </c>
      <c r="F29" s="144"/>
      <c r="G29" s="144"/>
      <c r="H29" s="151"/>
      <c r="I29" s="146"/>
      <c r="J29" s="144"/>
      <c r="K29" s="147">
        <f>IF(J29="E",0.7,IF(J29="D",0.3,IF(J29="C",0.1,0)))</f>
        <v>0</v>
      </c>
      <c r="L29" s="147">
        <f>IF(I29="רכיב לא קיים",0,I29)</f>
        <v>0</v>
      </c>
      <c r="M29" s="138">
        <f>IF(L29=5,5,K29+L29)</f>
        <v>0</v>
      </c>
      <c r="N29" s="144"/>
      <c r="O29" s="144"/>
      <c r="P29" s="147">
        <f>IF(S29=2,0,IF(S29=1.5,0.3-((M29-1)*0.3/4),IF(S29=1.2,0.6-((M29-1)*0.6/4),1.2-((M29-1)*1.2/4))))</f>
        <v>0.75</v>
      </c>
      <c r="Q29" s="132">
        <f>IF(M29&gt;0,P29,0)</f>
        <v>0</v>
      </c>
      <c r="R29" s="132">
        <f>IF(M29=0,0,IF(M29-Q29&gt;=1,M29-Q29,1))</f>
        <v>0</v>
      </c>
      <c r="S29" s="138">
        <v>1.2</v>
      </c>
      <c r="T29" s="139">
        <f>IF(M29&gt;0,S29,0)</f>
        <v>0</v>
      </c>
      <c r="U29" s="139">
        <f>IF(M29&gt;0,S29*R29,0)</f>
        <v>0</v>
      </c>
      <c r="V29" s="140">
        <f>IF(S29=2,R29,0)</f>
        <v>0</v>
      </c>
      <c r="W29" s="65"/>
      <c r="X29" s="65"/>
      <c r="Y29" s="149" t="s">
        <v>84</v>
      </c>
    </row>
    <row r="30" ht="27" customHeight="1" spans="2:25" x14ac:dyDescent="0.25">
      <c r="B30" s="142">
        <v>3002</v>
      </c>
      <c r="C30" s="150" t="s">
        <v>103</v>
      </c>
      <c r="D30" s="150"/>
      <c r="E30" s="138" t="s">
        <v>101</v>
      </c>
      <c r="F30" s="144"/>
      <c r="G30" s="144"/>
      <c r="H30" s="151"/>
      <c r="I30" s="146"/>
      <c r="J30" s="144"/>
      <c r="K30" s="147">
        <f>IF(J30="E",0.7,IF(J30="D",0.3,IF(J30="C",0.1,0)))</f>
        <v>0</v>
      </c>
      <c r="L30" s="147">
        <f>IF(I30="רכיב לא קיים",0,I30)</f>
        <v>0</v>
      </c>
      <c r="M30" s="138">
        <f>IF(L30=5,5,K30+L30)</f>
        <v>0</v>
      </c>
      <c r="N30" s="144"/>
      <c r="O30" s="144"/>
      <c r="P30" s="147">
        <f>IF(S30=2,0,IF(S30=1.5,0.3-((M30-1)*0.3/4),IF(S30=1.2,0.6-((M30-1)*0.6/4),1.2-((M30-1)*1.2/4))))</f>
        <v>0.75</v>
      </c>
      <c r="Q30" s="132">
        <f>IF(M30&gt;0,P30,0)</f>
        <v>0</v>
      </c>
      <c r="R30" s="132">
        <f>IF(M30=0,0,IF(M30-Q30&gt;=1,M30-Q30,1))</f>
        <v>0</v>
      </c>
      <c r="S30" s="138">
        <v>1.2</v>
      </c>
      <c r="T30" s="139">
        <f>IF(M30&gt;0,S30,0)</f>
        <v>0</v>
      </c>
      <c r="U30" s="139">
        <f>IF(M30&gt;0,S30*R30,0)</f>
        <v>0</v>
      </c>
      <c r="V30" s="140">
        <f>IF(S30=2,R30,0)</f>
        <v>0</v>
      </c>
      <c r="W30" s="65"/>
      <c r="X30" s="65"/>
      <c r="Y30" s="149" t="s">
        <v>84</v>
      </c>
    </row>
    <row r="31" ht="27" customHeight="1" spans="2:25" x14ac:dyDescent="0.25">
      <c r="B31" s="142">
        <v>3003</v>
      </c>
      <c r="C31" s="143" t="s">
        <v>104</v>
      </c>
      <c r="D31" s="143"/>
      <c r="E31" s="138" t="s">
        <v>101</v>
      </c>
      <c r="F31" s="144"/>
      <c r="G31" s="144"/>
      <c r="H31" s="145"/>
      <c r="I31" s="146"/>
      <c r="J31" s="144"/>
      <c r="K31" s="147">
        <f>IF(J31="E",0.7,IF(J31="D",0.3,IF(J31="C",0.1,0)))</f>
        <v>0</v>
      </c>
      <c r="L31" s="147">
        <f>IF(I31="רכיב לא קיים",0,I31)</f>
        <v>0</v>
      </c>
      <c r="M31" s="138">
        <f>IF(L31=5,5,K31+L31)</f>
        <v>0</v>
      </c>
      <c r="N31" s="144"/>
      <c r="O31" s="144"/>
      <c r="P31" s="147">
        <f>IF(S31=2,0,IF(S31=1.5,0.3-((M31-1)*0.3/4),IF(S31=1.2,0.6-((M31-1)*0.6/4),1.2-((M31-1)*1.2/4))))</f>
        <v>0.75</v>
      </c>
      <c r="Q31" s="132">
        <f>IF(M31&gt;0,P31,0)</f>
        <v>0</v>
      </c>
      <c r="R31" s="132">
        <f>IF(M31=0,0,IF(M31-Q31&gt;=1,M31-Q31,1))</f>
        <v>0</v>
      </c>
      <c r="S31" s="138">
        <v>1.2</v>
      </c>
      <c r="T31" s="139">
        <f>IF(M31&gt;0,S31,0)</f>
        <v>0</v>
      </c>
      <c r="U31" s="139">
        <f>IF(M31&gt;0,S31*R31,0)</f>
        <v>0</v>
      </c>
      <c r="V31" s="140">
        <f>IF(S31=2,R31,0)</f>
        <v>0</v>
      </c>
      <c r="W31" s="65"/>
      <c r="X31" s="65"/>
      <c r="Y31" s="149" t="s">
        <v>84</v>
      </c>
    </row>
    <row r="32" ht="27" customHeight="1" spans="2:25" x14ac:dyDescent="0.25">
      <c r="B32" s="142">
        <v>7002</v>
      </c>
      <c r="C32" s="143" t="s">
        <v>105</v>
      </c>
      <c r="D32" s="143"/>
      <c r="E32" s="138" t="s">
        <v>90</v>
      </c>
      <c r="F32" s="144"/>
      <c r="G32" s="144"/>
      <c r="H32" s="145" t="s">
        <v>106</v>
      </c>
      <c r="I32" s="146">
        <v>2</v>
      </c>
      <c r="J32" s="144" t="s">
        <v>75</v>
      </c>
      <c r="K32" s="147">
        <f>IF(J32="E",0.7,IF(J32="D",0.3,IF(J32="C",0.1,0)))</f>
        <v>0</v>
      </c>
      <c r="L32" s="147">
        <f>IF(I32="רכיב לא קיים",0,I32)</f>
        <v>2</v>
      </c>
      <c r="M32" s="138">
        <f>IF(L32=5,5,K32+L32)</f>
        <v>2</v>
      </c>
      <c r="N32" s="144"/>
      <c r="O32" s="144"/>
      <c r="P32" s="147">
        <f>IF(S32=2,0,IF(S32=1.5,0.3-((M32-1)*0.3/4),IF(S32=1.2,0.6-((M32-1)*0.6/4),1.2-((M32-1)*1.2/4))))</f>
        <v>0.225</v>
      </c>
      <c r="Q32" s="132">
        <f>IF(M32&gt;0,P32,0)</f>
        <v>0.225</v>
      </c>
      <c r="R32" s="132">
        <f>IF(M32=0,0,IF(M32-Q32&gt;=1,M32-Q32,1))</f>
        <v>1.775</v>
      </c>
      <c r="S32" s="138">
        <v>1.5</v>
      </c>
      <c r="T32" s="139">
        <f>IF(M32&gt;0,S32,0)</f>
        <v>1.5</v>
      </c>
      <c r="U32" s="139">
        <f>IF(M32&gt;0,S32*R32,0)</f>
        <v>2.6625</v>
      </c>
      <c r="V32" s="140">
        <f>IF(S32=2,R32,0)</f>
        <v>0</v>
      </c>
      <c r="W32" s="65"/>
      <c r="X32" s="65"/>
      <c r="Y32" s="149"/>
    </row>
    <row r="33" ht="27" customHeight="1" spans="2:25" x14ac:dyDescent="0.25">
      <c r="B33" s="142">
        <v>3005</v>
      </c>
      <c r="C33" s="143" t="s">
        <v>107</v>
      </c>
      <c r="D33" s="143"/>
      <c r="E33" s="138" t="s">
        <v>101</v>
      </c>
      <c r="F33" s="144"/>
      <c r="G33" s="144"/>
      <c r="H33" s="151"/>
      <c r="I33" s="146"/>
      <c r="J33" s="144"/>
      <c r="K33" s="147">
        <f>IF(J33="E",0.7,IF(J33="D",0.3,IF(J33="C",0.1,0)))</f>
        <v>0</v>
      </c>
      <c r="L33" s="147">
        <f>IF(I33="רכיב לא קיים",0,I33)</f>
        <v>0</v>
      </c>
      <c r="M33" s="138">
        <f>IF(L33=5,5,K33+L33)</f>
        <v>0</v>
      </c>
      <c r="N33" s="144"/>
      <c r="O33" s="144"/>
      <c r="P33" s="147">
        <f>IF(S33=2,0,IF(S33=1.5,0.3-((M33-1)*0.3/4),IF(S33=1.2,0.6-((M33-1)*0.6/4),1.2-((M33-1)*1.2/4))))</f>
        <v>0.75</v>
      </c>
      <c r="Q33" s="132">
        <f>IF(M33&gt;0,P33,0)</f>
        <v>0</v>
      </c>
      <c r="R33" s="132">
        <f>IF(M33=0,0,IF(M33-Q33&gt;=1,M33-Q33,1))</f>
        <v>0</v>
      </c>
      <c r="S33" s="138">
        <v>1.2</v>
      </c>
      <c r="T33" s="139">
        <f>IF(M33&gt;0,S33,0)</f>
        <v>0</v>
      </c>
      <c r="U33" s="139">
        <f>IF(M33&gt;0,S33*R33,0)</f>
        <v>0</v>
      </c>
      <c r="V33" s="140">
        <f>IF(S33=2,R33,0)</f>
        <v>0</v>
      </c>
      <c r="W33" s="65"/>
      <c r="X33" s="65"/>
      <c r="Y33" s="149" t="s">
        <v>84</v>
      </c>
    </row>
    <row r="34" ht="27" customHeight="1" spans="2:25" x14ac:dyDescent="0.25">
      <c r="B34" s="142">
        <v>3006</v>
      </c>
      <c r="C34" s="143" t="s">
        <v>108</v>
      </c>
      <c r="D34" s="143"/>
      <c r="E34" s="138" t="s">
        <v>101</v>
      </c>
      <c r="F34" s="144"/>
      <c r="G34" s="144"/>
      <c r="H34" s="151"/>
      <c r="I34" s="146"/>
      <c r="J34" s="144"/>
      <c r="K34" s="147">
        <f>IF(J34="E",0.7,IF(J34="D",0.3,IF(J34="C",0.1,0)))</f>
        <v>0</v>
      </c>
      <c r="L34" s="147">
        <f>IF(I34="רכיב לא קיים",0,I34)</f>
        <v>0</v>
      </c>
      <c r="M34" s="138">
        <f>IF(L34=5,5,K34+L34)</f>
        <v>0</v>
      </c>
      <c r="N34" s="144"/>
      <c r="O34" s="144"/>
      <c r="P34" s="147">
        <f>IF(S34=2,0,IF(S34=1.5,0.3-((M34-1)*0.3/4),IF(S34=1.2,0.6-((M34-1)*0.6/4),1.2-((M34-1)*1.2/4))))</f>
        <v>0.75</v>
      </c>
      <c r="Q34" s="132">
        <f>IF(M34&gt;0,P34,0)</f>
        <v>0</v>
      </c>
      <c r="R34" s="132">
        <f>IF(M34=0,0,IF(M34-Q34&gt;=1,M34-Q34,1))</f>
        <v>0</v>
      </c>
      <c r="S34" s="138">
        <v>1.2</v>
      </c>
      <c r="T34" s="139">
        <f>IF(M34&gt;0,S34,0)</f>
        <v>0</v>
      </c>
      <c r="U34" s="139">
        <f>IF(M34&gt;0,S34*R34,0)</f>
        <v>0</v>
      </c>
      <c r="V34" s="140">
        <f>IF(S34=2,R34,0)</f>
        <v>0</v>
      </c>
      <c r="W34" s="65"/>
      <c r="X34" s="65"/>
      <c r="Y34" s="149" t="s">
        <v>84</v>
      </c>
    </row>
    <row r="35" ht="27" customHeight="1" spans="2:25" x14ac:dyDescent="0.25">
      <c r="B35" s="142">
        <v>3007</v>
      </c>
      <c r="C35" s="143" t="s">
        <v>109</v>
      </c>
      <c r="D35" s="143"/>
      <c r="E35" s="138" t="s">
        <v>101</v>
      </c>
      <c r="F35" s="144"/>
      <c r="G35" s="144"/>
      <c r="H35" s="213">
        <v>5.1</v>
      </c>
      <c r="I35" s="146">
        <v>2</v>
      </c>
      <c r="J35" s="144" t="s">
        <v>75</v>
      </c>
      <c r="K35" s="147">
        <f>IF(J35="E",0.7,IF(J35="D",0.3,IF(J35="C",0.1,0)))</f>
        <v>0</v>
      </c>
      <c r="L35" s="147">
        <f>IF(I35="רכיב לא קיים",0,I35)</f>
        <v>2</v>
      </c>
      <c r="M35" s="138">
        <f>IF(L35=5,5,K35+L35)</f>
        <v>2</v>
      </c>
      <c r="N35" s="144"/>
      <c r="O35" s="144"/>
      <c r="P35" s="147">
        <f>IF(S35=2,0,IF(S35=1.5,0.3-((M35-1)*0.3/4),IF(S35=1.2,0.6-((M35-1)*0.6/4),1.2-((M35-1)*1.2/4))))</f>
        <v>0.45</v>
      </c>
      <c r="Q35" s="132">
        <f>IF(M35&gt;0,P35,0)</f>
        <v>0.45</v>
      </c>
      <c r="R35" s="132">
        <f>IF(M35=0,0,IF(M35-Q35&gt;=1,M35-Q35,1))</f>
        <v>1.55</v>
      </c>
      <c r="S35" s="138">
        <v>1.2</v>
      </c>
      <c r="T35" s="139">
        <f>IF(M35&gt;0,S35,0)</f>
        <v>1.2</v>
      </c>
      <c r="U35" s="139">
        <f>IF(M35&gt;0,S35*R35,0)</f>
        <v>1.86</v>
      </c>
      <c r="V35" s="140">
        <f>IF(S35=2,R35,0)</f>
        <v>0</v>
      </c>
      <c r="W35" s="65"/>
      <c r="X35" s="65"/>
      <c r="Y35" s="149"/>
    </row>
    <row r="36" ht="27" customHeight="1" spans="2:25" x14ac:dyDescent="0.25">
      <c r="B36" s="142">
        <v>4001</v>
      </c>
      <c r="C36" s="143" t="s">
        <v>111</v>
      </c>
      <c r="D36" s="143"/>
      <c r="E36" s="138" t="s">
        <v>101</v>
      </c>
      <c r="F36" s="144"/>
      <c r="G36" s="144"/>
      <c r="H36" s="151"/>
      <c r="I36" s="146"/>
      <c r="J36" s="144"/>
      <c r="K36" s="147">
        <f>IF(J36="E",0.7,IF(J36="D",0.3,IF(J36="C",0.1,0)))</f>
        <v>0</v>
      </c>
      <c r="L36" s="147">
        <f>IF(I36="רכיב לא קיים",0,I36)</f>
        <v>0</v>
      </c>
      <c r="M36" s="138">
        <f>IF(L36=5,5,K36+L36)</f>
        <v>0</v>
      </c>
      <c r="N36" s="144"/>
      <c r="O36" s="144"/>
      <c r="P36" s="147">
        <f>IF(S36=2,0,IF(S36=1.5,0.3-((M36-1)*0.3/4),IF(S36=1.2,0.6-((M36-1)*0.6/4),1.2-((M36-1)*1.2/4))))</f>
        <v>0.75</v>
      </c>
      <c r="Q36" s="132">
        <f>IF(M36&gt;0,P36,0)</f>
        <v>0</v>
      </c>
      <c r="R36" s="132">
        <f>IF(M36=0,0,IF(M36-Q36&gt;=1,M36-Q36,1))</f>
        <v>0</v>
      </c>
      <c r="S36" s="138">
        <v>1.2</v>
      </c>
      <c r="T36" s="139">
        <f>IF(M36&gt;0,S36,0)</f>
        <v>0</v>
      </c>
      <c r="U36" s="139">
        <f>IF(M36&gt;0,S36*R36,0)</f>
        <v>0</v>
      </c>
      <c r="V36" s="140">
        <f>IF(S36=2,R36,0)</f>
        <v>0</v>
      </c>
      <c r="W36" s="65"/>
      <c r="X36" s="65"/>
      <c r="Y36" s="149" t="s">
        <v>84</v>
      </c>
    </row>
    <row r="37" ht="27" customHeight="1" spans="2:25" x14ac:dyDescent="0.25">
      <c r="B37" s="142">
        <v>6009</v>
      </c>
      <c r="C37" s="143" t="s">
        <v>112</v>
      </c>
      <c r="D37" s="143"/>
      <c r="E37" s="138" t="s">
        <v>90</v>
      </c>
      <c r="F37" s="144"/>
      <c r="G37" s="144"/>
      <c r="H37" s="145"/>
      <c r="I37" s="146"/>
      <c r="J37" s="144"/>
      <c r="K37" s="147">
        <f>IF(J37="E",0.7,IF(J37="D",0.3,IF(J37="C",0.1,0)))</f>
        <v>0</v>
      </c>
      <c r="L37" s="147">
        <f>IF(I37="רכיב לא קיים",0,I37)</f>
        <v>0</v>
      </c>
      <c r="M37" s="138">
        <f>IF(L37=5,5,K37+L37)</f>
        <v>0</v>
      </c>
      <c r="N37" s="144"/>
      <c r="O37" s="144"/>
      <c r="P37" s="147">
        <f>IF(S37=2,0,IF(S37=1.5,0.3-((M37-1)*0.3/4),IF(S37=1.2,0.6-((M37-1)*0.6/4),1.2-((M37-1)*1.2/4))))</f>
        <v>0.375</v>
      </c>
      <c r="Q37" s="132">
        <f>IF(M37&gt;0,P37,0)</f>
        <v>0</v>
      </c>
      <c r="R37" s="132">
        <f>IF(M37=0,0,IF(M37-Q37&gt;=1,M37-Q37,1))</f>
        <v>0</v>
      </c>
      <c r="S37" s="138">
        <v>1.5</v>
      </c>
      <c r="T37" s="139">
        <f>IF(M37&gt;0,S37,0)</f>
        <v>0</v>
      </c>
      <c r="U37" s="139">
        <f>IF(M37&gt;0,S37*R37,0)</f>
        <v>0</v>
      </c>
      <c r="V37" s="140">
        <f>IF(S37=2,R37,0)</f>
        <v>0</v>
      </c>
      <c r="W37" s="65"/>
      <c r="X37" s="65"/>
      <c r="Y37" s="149" t="s">
        <v>84</v>
      </c>
    </row>
    <row r="38" ht="27" customHeight="1" spans="2:25" x14ac:dyDescent="0.25">
      <c r="B38" s="142">
        <v>7000</v>
      </c>
      <c r="C38" s="150" t="s">
        <v>114</v>
      </c>
      <c r="D38" s="150"/>
      <c r="E38" s="138" t="s">
        <v>101</v>
      </c>
      <c r="F38" s="144"/>
      <c r="G38" s="144"/>
      <c r="H38" s="145" t="s">
        <v>145</v>
      </c>
      <c r="I38" s="146">
        <v>2</v>
      </c>
      <c r="J38" s="144" t="s">
        <v>75</v>
      </c>
      <c r="K38" s="147">
        <f>IF(J38="E",0.7,IF(J38="D",0.3,IF(J38="C",0.1,0)))</f>
        <v>0</v>
      </c>
      <c r="L38" s="147">
        <f>IF(I38="רכיב לא קיים",0,I38)</f>
        <v>2</v>
      </c>
      <c r="M38" s="138">
        <f>IF(L38=5,5,K38+L38)</f>
        <v>2</v>
      </c>
      <c r="N38" s="144"/>
      <c r="O38" s="144"/>
      <c r="P38" s="147">
        <f>IF(S38=2,0,IF(S38=1.5,0.3-((M38-1)*0.3/4),IF(S38=1.2,0.6-((M38-1)*0.6/4),1.2-((M38-1)*1.2/4))))</f>
        <v>0.45</v>
      </c>
      <c r="Q38" s="132">
        <f>IF(M38&gt;0,P38,0)</f>
        <v>0.45</v>
      </c>
      <c r="R38" s="132">
        <f>IF(M38=0,0,IF(M38-Q38&gt;=1,M38-Q38,1))</f>
        <v>1.55</v>
      </c>
      <c r="S38" s="138">
        <v>1.2</v>
      </c>
      <c r="T38" s="139">
        <f>IF(M38&gt;0,S38,0)</f>
        <v>1.2</v>
      </c>
      <c r="U38" s="139">
        <f>IF(M38&gt;0,S38*R38,0)</f>
        <v>1.86</v>
      </c>
      <c r="V38" s="140">
        <f>IF(S38=2,R38,0)</f>
        <v>0</v>
      </c>
      <c r="W38" s="65"/>
      <c r="X38" s="65"/>
      <c r="Y38" s="149"/>
    </row>
    <row r="39" ht="27" customHeight="1" spans="2:25" x14ac:dyDescent="0.25">
      <c r="B39" s="142">
        <v>7001</v>
      </c>
      <c r="C39" s="153" t="s">
        <v>116</v>
      </c>
      <c r="D39" s="153"/>
      <c r="E39" s="138" t="s">
        <v>117</v>
      </c>
      <c r="F39" s="144"/>
      <c r="G39" s="144"/>
      <c r="H39" s="145"/>
      <c r="I39" s="146"/>
      <c r="J39" s="144"/>
      <c r="K39" s="147">
        <f>IF(J39="E",0.7,IF(J39="D",0.3,IF(J39="C",0.1,0)))</f>
        <v>0</v>
      </c>
      <c r="L39" s="147">
        <f>IF(I39="רכיב לא קיים",0,I39)</f>
        <v>0</v>
      </c>
      <c r="M39" s="138">
        <f>IF(L39=5,5,K39+L39)</f>
        <v>0</v>
      </c>
      <c r="N39" s="144"/>
      <c r="O39" s="144"/>
      <c r="P39" s="147">
        <f>IF(S39=2,0,IF(S39=1.5,0.3-((M39-1)*0.3/4),IF(S39=1.2,0.6-((M39-1)*0.6/4),1.2-((M39-1)*1.2/4))))</f>
        <v>1.5</v>
      </c>
      <c r="Q39" s="132">
        <f>IF(M39&gt;0,P39,0)</f>
        <v>0</v>
      </c>
      <c r="R39" s="132">
        <f>IF(M39=0,0,IF(M39-Q39&gt;=1,M39-Q39,1))</f>
        <v>0</v>
      </c>
      <c r="S39" s="138">
        <v>1</v>
      </c>
      <c r="T39" s="139">
        <f>IF(M39&gt;0,S39,0)</f>
        <v>0</v>
      </c>
      <c r="U39" s="139">
        <f>IF(M39&gt;0,S39*R39,0)</f>
        <v>0</v>
      </c>
      <c r="V39" s="140">
        <f>IF(S39=2,R39,0)</f>
        <v>0</v>
      </c>
      <c r="W39" s="65"/>
      <c r="X39" s="65"/>
      <c r="Y39" s="149"/>
    </row>
    <row r="40" ht="27" customHeight="1" spans="2:25" x14ac:dyDescent="0.25">
      <c r="B40" s="142">
        <v>5001</v>
      </c>
      <c r="C40" s="143" t="s">
        <v>119</v>
      </c>
      <c r="D40" s="143"/>
      <c r="E40" s="138" t="s">
        <v>101</v>
      </c>
      <c r="F40" s="144"/>
      <c r="G40" s="144"/>
      <c r="H40" s="145"/>
      <c r="I40" s="146"/>
      <c r="J40" s="144"/>
      <c r="K40" s="147">
        <f>IF(J40="E",0.7,IF(J40="D",0.3,IF(J40="C",0.1,0)))</f>
        <v>0</v>
      </c>
      <c r="L40" s="147">
        <f>IF(I40="רכיב לא קיים",0,I40)</f>
        <v>0</v>
      </c>
      <c r="M40" s="138">
        <f>IF(L40=5,5,K40+L40)</f>
        <v>0</v>
      </c>
      <c r="N40" s="144"/>
      <c r="O40" s="144"/>
      <c r="P40" s="147">
        <f>IF(S40=2,0,IF(S40=1.5,0.3-((M40-1)*0.3/4),IF(S40=1.2,0.6-((M40-1)*0.6/4),1.2-((M40-1)*1.2/4))))</f>
        <v>0.75</v>
      </c>
      <c r="Q40" s="132">
        <f>IF(M40&gt;0,P40,0)</f>
        <v>0</v>
      </c>
      <c r="R40" s="132">
        <f>IF(M40=0,0,IF(M40-Q40&gt;=1,M40-Q40,1))</f>
        <v>0</v>
      </c>
      <c r="S40" s="138">
        <v>1.2</v>
      </c>
      <c r="T40" s="139">
        <f>IF(M40&gt;0,S40,0)</f>
        <v>0</v>
      </c>
      <c r="U40" s="139">
        <f>IF(M40&gt;0,S40*R40,0)</f>
        <v>0</v>
      </c>
      <c r="V40" s="140">
        <f>IF(S40=2,R40,0)</f>
        <v>0</v>
      </c>
      <c r="W40" s="65"/>
      <c r="X40" s="65"/>
      <c r="Y40" s="149" t="s">
        <v>84</v>
      </c>
    </row>
    <row r="41" ht="27" customHeight="1" spans="2:25" x14ac:dyDescent="0.25">
      <c r="B41" s="142">
        <v>5002</v>
      </c>
      <c r="C41" s="143" t="s">
        <v>120</v>
      </c>
      <c r="D41" s="143"/>
      <c r="E41" s="138" t="s">
        <v>101</v>
      </c>
      <c r="F41" s="144"/>
      <c r="G41" s="144"/>
      <c r="H41" s="145" t="s">
        <v>141</v>
      </c>
      <c r="I41" s="146">
        <v>2</v>
      </c>
      <c r="J41" s="144" t="s">
        <v>75</v>
      </c>
      <c r="K41" s="147">
        <f>IF(J41="E",0.7,IF(J41="D",0.3,IF(J41="C",0.1,0)))</f>
        <v>0</v>
      </c>
      <c r="L41" s="147">
        <f>IF(I41="רכיב לא קיים",0,I41)</f>
        <v>2</v>
      </c>
      <c r="M41" s="138">
        <f>IF(L41=5,5,K41+L41)</f>
        <v>2</v>
      </c>
      <c r="N41" s="144"/>
      <c r="O41" s="144"/>
      <c r="P41" s="147">
        <f>IF(S41=2,0,IF(S41=1.5,0.3-((M41-1)*0.3/4),IF(S41=1.2,0.6-((M41-1)*0.6/4),1.2-((M41-1)*1.2/4))))</f>
        <v>0.45</v>
      </c>
      <c r="Q41" s="132">
        <f>IF(M41&gt;0,P41,0)</f>
        <v>0.45</v>
      </c>
      <c r="R41" s="132">
        <f>IF(M41=0,0,IF(M41-Q41&gt;=1,M41-Q41,1))</f>
        <v>1.55</v>
      </c>
      <c r="S41" s="138">
        <v>1.2</v>
      </c>
      <c r="T41" s="139">
        <f>IF(M41&gt;0,S41,0)</f>
        <v>1.2</v>
      </c>
      <c r="U41" s="139">
        <f>IF(M41&gt;0,S41*R41,0)</f>
        <v>1.86</v>
      </c>
      <c r="V41" s="140">
        <f>IF(S41=2,R41,0)</f>
        <v>0</v>
      </c>
      <c r="W41" s="65"/>
      <c r="X41" s="65"/>
      <c r="Y41" s="149"/>
    </row>
    <row r="42" ht="39" customHeight="1" spans="2:25" x14ac:dyDescent="0.25">
      <c r="B42" s="142">
        <v>5003</v>
      </c>
      <c r="C42" s="143" t="s">
        <v>121</v>
      </c>
      <c r="D42" s="143"/>
      <c r="E42" s="138" t="s">
        <v>101</v>
      </c>
      <c r="F42" s="144"/>
      <c r="G42" s="144"/>
      <c r="H42" s="151"/>
      <c r="I42" s="146"/>
      <c r="J42" s="144"/>
      <c r="K42" s="147">
        <f>IF(J42="E",0.7,IF(J42="D",0.3,IF(J42="C",0.1,0)))</f>
        <v>0</v>
      </c>
      <c r="L42" s="147">
        <f>IF(I42="רכיב לא קיים",0,I42)</f>
        <v>0</v>
      </c>
      <c r="M42" s="138">
        <f>IF(L42=5,5,K42+L42)</f>
        <v>0</v>
      </c>
      <c r="N42" s="144"/>
      <c r="O42" s="144"/>
      <c r="P42" s="147">
        <f>IF(S42=2,0,IF(S42=1.5,0.3-((M42-1)*0.3/4),IF(S42=1.2,0.6-((M42-1)*0.6/4),1.2-((M42-1)*1.2/4))))</f>
        <v>0.75</v>
      </c>
      <c r="Q42" s="132">
        <f>IF(M42&gt;0,P42,0)</f>
        <v>0</v>
      </c>
      <c r="R42" s="132">
        <f>IF(M42=0,0,IF(M42-Q42&gt;=1,M42-Q42,1))</f>
        <v>0</v>
      </c>
      <c r="S42" s="138">
        <v>1.2</v>
      </c>
      <c r="T42" s="139">
        <f>IF(M42&gt;0,S42,0)</f>
        <v>0</v>
      </c>
      <c r="U42" s="139">
        <f>IF(M42&gt;0,S42*R42,0)</f>
        <v>0</v>
      </c>
      <c r="V42" s="140">
        <f>IF(S42=2,R42,0)</f>
        <v>0</v>
      </c>
      <c r="W42" s="65"/>
      <c r="X42" s="65"/>
      <c r="Y42" s="149" t="s">
        <v>84</v>
      </c>
    </row>
    <row r="43" ht="27" customHeight="1" spans="2:25" x14ac:dyDescent="0.25">
      <c r="B43" s="142">
        <v>5004</v>
      </c>
      <c r="C43" s="143" t="s">
        <v>122</v>
      </c>
      <c r="D43" s="143"/>
      <c r="E43" s="138" t="s">
        <v>101</v>
      </c>
      <c r="F43" s="144"/>
      <c r="G43" s="144"/>
      <c r="H43" s="151"/>
      <c r="I43" s="146"/>
      <c r="J43" s="144"/>
      <c r="K43" s="147">
        <f>IF(J43="E",0.7,IF(J43="D",0.3,IF(J43="C",0.1,0)))</f>
        <v>0</v>
      </c>
      <c r="L43" s="147">
        <f>IF(I43="רכיב לא קיים",0,I43)</f>
        <v>0</v>
      </c>
      <c r="M43" s="138">
        <f>IF(L43=5,5,K43+L43)</f>
        <v>0</v>
      </c>
      <c r="N43" s="144"/>
      <c r="O43" s="144"/>
      <c r="P43" s="147">
        <f>IF(S43=2,0,IF(S43=1.5,0.3-((M43-1)*0.3/4),IF(S43=1.2,0.6-((M43-1)*0.6/4),1.2-((M43-1)*1.2/4))))</f>
        <v>0.75</v>
      </c>
      <c r="Q43" s="132">
        <f>IF(M43&gt;0,P43,0)</f>
        <v>0</v>
      </c>
      <c r="R43" s="132">
        <f>IF(M43=0,0,IF(M43-Q43&gt;=1,M43-Q43,1))</f>
        <v>0</v>
      </c>
      <c r="S43" s="138">
        <v>1.2</v>
      </c>
      <c r="T43" s="139">
        <f>IF(M43&gt;0,S43,0)</f>
        <v>0</v>
      </c>
      <c r="U43" s="139">
        <f>IF(M43&gt;0,S43*R43,0)</f>
        <v>0</v>
      </c>
      <c r="V43" s="140">
        <f>IF(S43=2,R43,0)</f>
        <v>0</v>
      </c>
      <c r="W43" s="65"/>
      <c r="X43" s="65"/>
      <c r="Y43" s="149" t="s">
        <v>84</v>
      </c>
    </row>
    <row r="44" ht="27" customHeight="1" spans="2:25" x14ac:dyDescent="0.25">
      <c r="B44" s="142">
        <v>5005</v>
      </c>
      <c r="C44" s="143" t="s">
        <v>123</v>
      </c>
      <c r="D44" s="143"/>
      <c r="E44" s="138" t="s">
        <v>117</v>
      </c>
      <c r="F44" s="144"/>
      <c r="G44" s="144"/>
      <c r="H44" s="151"/>
      <c r="I44" s="146"/>
      <c r="J44" s="144"/>
      <c r="K44" s="147">
        <f>IF(J44="E",0.7,IF(J44="D",0.3,IF(J44="C",0.1,0)))</f>
        <v>0</v>
      </c>
      <c r="L44" s="147">
        <f>IF(I44="רכיב לא קיים",0,I44)</f>
        <v>0</v>
      </c>
      <c r="M44" s="138">
        <f>IF(L44=5,5,K44+L44)</f>
        <v>0</v>
      </c>
      <c r="N44" s="144"/>
      <c r="O44" s="144"/>
      <c r="P44" s="147">
        <f>IF(S44=2,0,IF(S44=1.5,0.3-((M44-1)*0.3/4),IF(S44=1.2,0.6-((M44-1)*0.6/4),1.2-((M44-1)*1.2/4))))</f>
        <v>1.5</v>
      </c>
      <c r="Q44" s="132">
        <f>IF(M44&gt;0,P44,0)</f>
        <v>0</v>
      </c>
      <c r="R44" s="132">
        <f>IF(M44=0,0,IF(M44-Q44&gt;=1,M44-Q44,1))</f>
        <v>0</v>
      </c>
      <c r="S44" s="138">
        <v>1</v>
      </c>
      <c r="T44" s="139">
        <f>IF(M44&gt;0,S44,0)</f>
        <v>0</v>
      </c>
      <c r="U44" s="139">
        <f>IF(M44&gt;0,S44*R44,0)</f>
        <v>0</v>
      </c>
      <c r="V44" s="140">
        <f>IF(S44=2,R44,0)</f>
        <v>0</v>
      </c>
      <c r="W44" s="65"/>
      <c r="X44" s="65"/>
      <c r="Y44" s="149" t="s">
        <v>84</v>
      </c>
    </row>
    <row r="45" ht="27" customHeight="1" spans="2:25" x14ac:dyDescent="0.25">
      <c r="B45" s="142">
        <v>5006</v>
      </c>
      <c r="C45" s="150" t="s">
        <v>124</v>
      </c>
      <c r="D45" s="150"/>
      <c r="E45" s="138" t="s">
        <v>90</v>
      </c>
      <c r="F45" s="144"/>
      <c r="G45" s="144"/>
      <c r="H45" s="151"/>
      <c r="I45" s="146"/>
      <c r="J45" s="144"/>
      <c r="K45" s="147">
        <f>IF(J45="E",0.7,IF(J45="D",0.3,IF(J45="C",0.1,0)))</f>
        <v>0</v>
      </c>
      <c r="L45" s="147">
        <f>IF(I45="רכיב לא קיים",0,I45)</f>
        <v>0</v>
      </c>
      <c r="M45" s="138">
        <f>IF(L45=5,5,K45+L45)</f>
        <v>0</v>
      </c>
      <c r="N45" s="144"/>
      <c r="O45" s="144"/>
      <c r="P45" s="147">
        <f>IF(S45=2,0,IF(S45=1.5,0.3-((M45-1)*0.3/4),IF(S45=1.2,0.6-((M45-1)*0.6/4),1.2-((M45-1)*1.2/4))))</f>
        <v>0.375</v>
      </c>
      <c r="Q45" s="132">
        <f>IF(M45&gt;0,P45,0)</f>
        <v>0</v>
      </c>
      <c r="R45" s="132">
        <f>IF(M45=0,0,IF(M45-Q45&gt;=1,M45-Q45,1))</f>
        <v>0</v>
      </c>
      <c r="S45" s="138">
        <v>1.5</v>
      </c>
      <c r="T45" s="139">
        <f>IF(M45&gt;0,S45,0)</f>
        <v>0</v>
      </c>
      <c r="U45" s="139">
        <f>IF(M45&gt;0,S45*R45,0)</f>
        <v>0</v>
      </c>
      <c r="V45" s="140">
        <f>IF(S45=2,R45,0)</f>
        <v>0</v>
      </c>
      <c r="W45" s="65"/>
      <c r="X45" s="65"/>
      <c r="Y45" s="149" t="s">
        <v>84</v>
      </c>
    </row>
    <row r="46" ht="27" customHeight="1" spans="2:25" x14ac:dyDescent="0.25">
      <c r="B46" s="142">
        <v>5007</v>
      </c>
      <c r="C46" s="143" t="s">
        <v>125</v>
      </c>
      <c r="D46" s="143"/>
      <c r="E46" s="138" t="s">
        <v>101</v>
      </c>
      <c r="F46" s="144"/>
      <c r="G46" s="144"/>
      <c r="H46" s="151"/>
      <c r="I46" s="146"/>
      <c r="J46" s="144"/>
      <c r="K46" s="147">
        <f>IF(J46="E",0.7,IF(J46="D",0.3,IF(J46="C",0.1,0)))</f>
        <v>0</v>
      </c>
      <c r="L46" s="147">
        <f>IF(I46="רכיב לא קיים",0,I46)</f>
        <v>0</v>
      </c>
      <c r="M46" s="138">
        <f>IF(L46=5,5,K46+L46)</f>
        <v>0</v>
      </c>
      <c r="N46" s="144"/>
      <c r="O46" s="144"/>
      <c r="P46" s="147">
        <f>IF(S46=2,0,IF(S46=1.5,0.3-((M46-1)*0.3/4),IF(S46=1.2,0.6-((M46-1)*0.6/4),1.2-((M46-1)*1.2/4))))</f>
        <v>0.75</v>
      </c>
      <c r="Q46" s="132">
        <f>IF(M46&gt;0,P46,0)</f>
        <v>0</v>
      </c>
      <c r="R46" s="132">
        <f>IF(M46=0,0,IF(M46-Q46&gt;=1,M46-Q46,1))</f>
        <v>0</v>
      </c>
      <c r="S46" s="138">
        <v>1.2</v>
      </c>
      <c r="T46" s="139">
        <f>IF(M46&gt;0,S46,0)</f>
        <v>0</v>
      </c>
      <c r="U46" s="139">
        <f>IF(M46&gt;0,S46*R46,0)</f>
        <v>0</v>
      </c>
      <c r="V46" s="140">
        <f>IF(S46=2,R46,0)</f>
        <v>0</v>
      </c>
      <c r="W46" s="65"/>
      <c r="X46" s="65"/>
      <c r="Y46" s="149" t="s">
        <v>84</v>
      </c>
    </row>
    <row r="47" ht="27" customHeight="1" spans="2:25" x14ac:dyDescent="0.25">
      <c r="B47" s="142">
        <v>5008</v>
      </c>
      <c r="C47" s="150" t="s">
        <v>126</v>
      </c>
      <c r="D47" s="150"/>
      <c r="E47" s="138" t="s">
        <v>117</v>
      </c>
      <c r="F47" s="144"/>
      <c r="G47" s="144"/>
      <c r="H47" s="145"/>
      <c r="I47" s="146"/>
      <c r="J47" s="144"/>
      <c r="K47" s="147">
        <f>IF(J47="E",0.7,IF(J47="D",0.3,IF(J47="C",0.1,0)))</f>
        <v>0</v>
      </c>
      <c r="L47" s="147">
        <f>IF(I47="רכיב לא קיים",0,I47)</f>
        <v>0</v>
      </c>
      <c r="M47" s="138">
        <f>IF(L47=5,5,K47+L47)</f>
        <v>0</v>
      </c>
      <c r="N47" s="144"/>
      <c r="O47" s="144"/>
      <c r="P47" s="147">
        <f>IF(S47=2,0,IF(S47=1.5,0.3-((M47-1)*0.3/4),IF(S47=1.2,0.6-((M47-1)*0.6/4),1.2-((M47-1)*1.2/4))))</f>
        <v>1.5</v>
      </c>
      <c r="Q47" s="132">
        <f>IF(M47&gt;0,P47,0)</f>
        <v>0</v>
      </c>
      <c r="R47" s="132">
        <f>IF(M47=0,0,IF(M47-Q47&gt;=1,M47-Q47,1))</f>
        <v>0</v>
      </c>
      <c r="S47" s="138">
        <v>1</v>
      </c>
      <c r="T47" s="139">
        <f>IF(M47&gt;0,S47,0)</f>
        <v>0</v>
      </c>
      <c r="U47" s="139">
        <f>IF(M47&gt;0,S47*R47,0)</f>
        <v>0</v>
      </c>
      <c r="V47" s="140">
        <f>IF(S47=2,R47,0)</f>
        <v>0</v>
      </c>
      <c r="W47" s="65"/>
      <c r="X47" s="65"/>
      <c r="Y47" s="149" t="s">
        <v>84</v>
      </c>
    </row>
    <row r="48" ht="27" customHeight="1" spans="2:25" x14ac:dyDescent="0.25">
      <c r="B48" s="154">
        <v>3004</v>
      </c>
      <c r="C48" s="155" t="s">
        <v>142</v>
      </c>
      <c r="D48" s="155"/>
      <c r="E48" s="156" t="s">
        <v>101</v>
      </c>
      <c r="F48" s="157"/>
      <c r="G48" s="157"/>
      <c r="H48" s="158"/>
      <c r="I48" s="159"/>
      <c r="J48" s="157"/>
      <c r="K48" s="160">
        <f>IF(J48="E",0.7,IF(J48="D",0.3,IF(J48="C",0.1,0)))</f>
        <v>0</v>
      </c>
      <c r="L48" s="160">
        <f>IF(I48="רכיב לא קיים",0,I48)</f>
        <v>0</v>
      </c>
      <c r="M48" s="156">
        <f>IF(L48=5,5,K48+L48)</f>
        <v>0</v>
      </c>
      <c r="N48" s="157"/>
      <c r="O48" s="157"/>
      <c r="P48" s="160">
        <f>IF(S48=2,0,IF(S48=1.5,0.3-((M48-1)*0.3/4),IF(S48=1.2,0.6-((M48-1)*0.6/4),1.2-((M48-1)*1.2/4))))</f>
        <v>0.75</v>
      </c>
      <c r="Q48" s="161">
        <f>IF(M48&gt;0,P48,0)</f>
        <v>0</v>
      </c>
      <c r="R48" s="161">
        <f>IF(M48=0,0,IF(M48-Q48&gt;=1,M48-Q48,1))</f>
        <v>0</v>
      </c>
      <c r="S48" s="156">
        <v>1.2</v>
      </c>
      <c r="T48" s="139">
        <f>IF(M48&gt;0,S48,0)</f>
        <v>0</v>
      </c>
      <c r="U48" s="139">
        <f>IF(M48&gt;0,S48*R48,0)</f>
        <v>0</v>
      </c>
      <c r="V48" s="140">
        <f>IF(S48=2,R48,0)</f>
        <v>0</v>
      </c>
      <c r="W48" s="109"/>
      <c r="X48" s="109"/>
      <c r="Y48" s="149" t="s">
        <v>84</v>
      </c>
    </row>
    <row r="49" ht="13.5" customHeight="1" spans="3:20" x14ac:dyDescent="0.25">
      <c r="C49" s="162"/>
      <c r="D49" s="6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63"/>
      <c r="R49" s="163"/>
      <c r="S49" s="105"/>
      <c r="T49" s="164"/>
    </row>
    <row r="50" ht="19.5" customHeight="1" spans="3:15" x14ac:dyDescent="0.25">
      <c r="C50" s="165"/>
      <c r="D50" s="166"/>
      <c r="E50" s="167"/>
      <c r="F50" s="168" t="s">
        <v>128</v>
      </c>
      <c r="G50" s="169"/>
      <c r="H50" s="169"/>
      <c r="I50" s="170"/>
      <c r="J50" s="171"/>
      <c r="K50" s="164"/>
      <c r="L50" s="164"/>
      <c r="N50" s="172"/>
      <c r="O50" s="172"/>
    </row>
    <row r="51" ht="13.5" customHeight="1" spans="3:19" x14ac:dyDescent="0.25">
      <c r="C51" s="173"/>
      <c r="D51" s="174"/>
      <c r="E51" s="174"/>
      <c r="F51" s="174"/>
      <c r="G51" s="174"/>
      <c r="H51" s="175"/>
      <c r="I51" s="175"/>
      <c r="J51" s="176"/>
      <c r="K51" s="164"/>
      <c r="L51" s="164"/>
      <c r="N51" s="164"/>
      <c r="O51" s="164"/>
      <c r="S51" s="164"/>
    </row>
    <row r="52" ht="16.5" customHeight="1" spans="3:19" x14ac:dyDescent="0.25">
      <c r="C52" s="177">
        <f>SUM(U15:U48)/SUM(T15:T48)</f>
        <v>1.89637404580153</v>
      </c>
      <c r="D52" s="178" t="s">
        <v>129</v>
      </c>
      <c r="E52" s="178"/>
      <c r="F52" s="178"/>
      <c r="G52" s="179" t="s">
        <v>130</v>
      </c>
      <c r="H52" s="180"/>
      <c r="I52" s="181"/>
      <c r="J52" s="176"/>
      <c r="K52" s="164"/>
      <c r="L52" s="164"/>
      <c r="S52" s="164"/>
    </row>
    <row r="53" ht="15" customHeight="1" spans="3:19" x14ac:dyDescent="0.25">
      <c r="C53" s="182"/>
      <c r="D53" s="181"/>
      <c r="E53" s="183"/>
      <c r="F53" s="183"/>
      <c r="G53" s="183"/>
      <c r="H53" s="183"/>
      <c r="I53" s="183"/>
      <c r="J53" s="176"/>
      <c r="K53" s="164"/>
      <c r="L53" s="164"/>
      <c r="M53" s="164"/>
      <c r="N53" s="164"/>
      <c r="O53" s="164"/>
      <c r="R53" s="164"/>
      <c r="S53" s="164"/>
    </row>
    <row r="54" ht="13.5" customHeight="1" spans="3:19" x14ac:dyDescent="0.25">
      <c r="C54" s="173"/>
      <c r="D54" s="184"/>
      <c r="E54" s="184"/>
      <c r="F54" s="184"/>
      <c r="G54" s="184"/>
      <c r="H54" s="184"/>
      <c r="I54" s="184"/>
      <c r="J54" s="176"/>
      <c r="K54" s="164"/>
      <c r="L54" s="164"/>
      <c r="M54" s="164"/>
      <c r="N54" s="164"/>
      <c r="O54" s="164"/>
      <c r="R54" s="164"/>
      <c r="S54" s="164"/>
    </row>
    <row r="55" ht="16.5" customHeight="1" spans="3:19" x14ac:dyDescent="0.25">
      <c r="C55" s="185">
        <f>MAX(V15:V48)</f>
        <v>2.1</v>
      </c>
      <c r="D55" s="186" t="s">
        <v>131</v>
      </c>
      <c r="E55" s="186"/>
      <c r="F55" s="186"/>
      <c r="G55" s="186"/>
      <c r="H55" s="187" t="s">
        <v>132</v>
      </c>
      <c r="I55" s="184"/>
      <c r="J55" s="188"/>
      <c r="K55" s="189"/>
      <c r="L55" s="190"/>
      <c r="M55" s="191"/>
      <c r="N55" s="164"/>
      <c r="O55" s="164"/>
      <c r="R55" s="164"/>
      <c r="S55" s="164"/>
    </row>
    <row r="56" ht="13.5" customHeight="1" spans="3:19" x14ac:dyDescent="0.25">
      <c r="C56" s="192"/>
      <c r="D56" s="174"/>
      <c r="E56" s="174"/>
      <c r="F56" s="174"/>
      <c r="G56" s="174"/>
      <c r="H56" s="174"/>
      <c r="I56" s="174"/>
      <c r="J56" s="184"/>
      <c r="K56" s="164"/>
      <c r="L56" s="164"/>
      <c r="M56" s="191"/>
      <c r="N56" s="164"/>
      <c r="O56" s="164"/>
      <c r="R56" s="164"/>
      <c r="S56" s="164"/>
    </row>
    <row r="57" ht="13.5" customHeight="1" spans="3:19" x14ac:dyDescent="0.25">
      <c r="C57" s="164"/>
      <c r="D57" s="164"/>
      <c r="E57" s="164"/>
      <c r="F57" s="164"/>
      <c r="G57" s="164"/>
      <c r="H57" s="164"/>
      <c r="I57" s="193"/>
      <c r="J57" s="164"/>
      <c r="K57" s="164"/>
      <c r="L57" s="164"/>
      <c r="M57" s="164"/>
      <c r="N57" s="164"/>
      <c r="O57" s="164"/>
      <c r="R57" s="164"/>
      <c r="S57" s="164"/>
    </row>
    <row r="58" ht="18.75" customHeight="1" spans="3:19" x14ac:dyDescent="0.25">
      <c r="C58" s="194"/>
      <c r="D58" s="194"/>
      <c r="E58" s="195" t="s">
        <v>133</v>
      </c>
      <c r="F58" s="195"/>
      <c r="G58" s="195"/>
      <c r="H58" s="195"/>
      <c r="I58" s="167"/>
      <c r="J58" s="196"/>
      <c r="K58" s="65"/>
      <c r="L58" s="65"/>
      <c r="M58" s="65"/>
      <c r="N58" s="65"/>
      <c r="O58" s="65"/>
      <c r="R58" s="164"/>
      <c r="S58" s="164"/>
    </row>
    <row r="59" ht="13.5" customHeight="1" spans="3:15" x14ac:dyDescent="0.25">
      <c r="C59" s="180"/>
      <c r="D59" s="197"/>
      <c r="E59" s="197"/>
      <c r="F59" s="197"/>
      <c r="G59" s="197"/>
      <c r="H59" s="197"/>
      <c r="I59" s="197"/>
      <c r="J59" s="198"/>
      <c r="K59" s="65"/>
      <c r="L59" s="65"/>
      <c r="M59" s="65"/>
      <c r="N59" s="65"/>
      <c r="O59" s="65"/>
    </row>
    <row r="60" ht="18.75" customHeight="1" spans="3:17" x14ac:dyDescent="0.25">
      <c r="C60" s="60">
        <f>100-(2*((C52*C52)+(6.5*C52)-7.5))</f>
        <v>83.1546683614009</v>
      </c>
      <c r="D60" s="199" t="s">
        <v>134</v>
      </c>
      <c r="E60" s="199"/>
      <c r="F60" s="199"/>
      <c r="G60" s="199"/>
      <c r="H60" s="200" t="s">
        <v>135</v>
      </c>
      <c r="I60" s="201"/>
      <c r="J60" s="202"/>
      <c r="K60" s="65"/>
      <c r="L60" s="65"/>
      <c r="M60" s="65"/>
      <c r="N60" s="65"/>
      <c r="O60" s="65"/>
      <c r="P60" s="65"/>
      <c r="Q60" s="65"/>
    </row>
    <row r="61" ht="12.75" customHeight="1" spans="3:15" x14ac:dyDescent="0.25">
      <c r="C61" s="180"/>
      <c r="D61" s="203"/>
      <c r="E61" s="203"/>
      <c r="F61" s="203"/>
      <c r="G61" s="203"/>
      <c r="H61" s="203"/>
      <c r="I61" s="203"/>
      <c r="J61" s="198"/>
      <c r="K61" s="65"/>
      <c r="L61" s="65"/>
      <c r="M61" s="65"/>
      <c r="N61" s="65"/>
      <c r="O61" s="65"/>
    </row>
    <row r="62" ht="15.75" customHeight="1" spans="3:15" x14ac:dyDescent="0.25">
      <c r="C62" s="204"/>
      <c r="D62" s="204"/>
      <c r="E62" s="203"/>
      <c r="F62" s="203"/>
      <c r="G62" s="203"/>
      <c r="H62" s="203"/>
      <c r="I62" s="203"/>
      <c r="J62" s="198"/>
      <c r="K62" s="65"/>
      <c r="L62" s="65"/>
      <c r="M62" s="65"/>
      <c r="N62" s="65"/>
      <c r="O62" s="65"/>
    </row>
    <row r="63" ht="18.75" customHeight="1" spans="3:15" x14ac:dyDescent="0.25">
      <c r="C63" s="205">
        <f>100-(2*((C55*C55)+(6.5*C55)-7.5))</f>
        <v>78.88</v>
      </c>
      <c r="D63" s="206" t="s">
        <v>136</v>
      </c>
      <c r="E63" s="206"/>
      <c r="F63" s="206"/>
      <c r="G63" s="206"/>
      <c r="H63" s="200" t="s">
        <v>137</v>
      </c>
      <c r="I63" s="207"/>
      <c r="J63" s="198"/>
      <c r="K63" s="208"/>
      <c r="L63" s="208"/>
      <c r="M63" s="65"/>
      <c r="N63" s="65"/>
      <c r="O63" s="65"/>
    </row>
    <row r="64" ht="13.5" customHeight="1" spans="3:14" x14ac:dyDescent="0.25">
      <c r="C64" s="209"/>
      <c r="D64" s="210"/>
      <c r="E64" s="210"/>
      <c r="F64" s="210"/>
      <c r="G64" s="210"/>
      <c r="H64" s="210"/>
      <c r="I64" s="197"/>
      <c r="J64" s="211"/>
      <c r="K64" s="65"/>
      <c r="L64" s="65"/>
      <c r="M64" s="65"/>
      <c r="N64" s="65"/>
    </row>
  </sheetData>
  <mergeCells count="138">
    <mergeCell ref="B3:C3"/>
    <mergeCell ref="D3:F3"/>
    <mergeCell ref="H3:M3"/>
    <mergeCell ref="N3:O3"/>
    <mergeCell ref="B4:C4"/>
    <mergeCell ref="D4:F4"/>
    <mergeCell ref="H4:M4"/>
    <mergeCell ref="N4:Q4"/>
    <mergeCell ref="R4:S4"/>
    <mergeCell ref="B5:H5"/>
    <mergeCell ref="M5:Y5"/>
    <mergeCell ref="B7:D7"/>
    <mergeCell ref="E7:F7"/>
    <mergeCell ref="M7:N7"/>
    <mergeCell ref="O7:P7"/>
    <mergeCell ref="R7:S7"/>
    <mergeCell ref="B9:Y9"/>
    <mergeCell ref="C11:D11"/>
    <mergeCell ref="F11:G11"/>
    <mergeCell ref="N11:O11"/>
    <mergeCell ref="C12:D12"/>
    <mergeCell ref="F12:G12"/>
    <mergeCell ref="N12:O12"/>
    <mergeCell ref="C13:D13"/>
    <mergeCell ref="F13:G13"/>
    <mergeCell ref="N13:O13"/>
    <mergeCell ref="C14:D14"/>
    <mergeCell ref="F14:G14"/>
    <mergeCell ref="N14:O14"/>
    <mergeCell ref="C15:D15"/>
    <mergeCell ref="F15:G15"/>
    <mergeCell ref="N15:O15"/>
    <mergeCell ref="C16:D16"/>
    <mergeCell ref="F16:G16"/>
    <mergeCell ref="N16:O16"/>
    <mergeCell ref="C17:D17"/>
    <mergeCell ref="F17:G17"/>
    <mergeCell ref="N17:O17"/>
    <mergeCell ref="C18:D18"/>
    <mergeCell ref="F18:G18"/>
    <mergeCell ref="N18:O18"/>
    <mergeCell ref="C19:D19"/>
    <mergeCell ref="F19:G19"/>
    <mergeCell ref="N19:O19"/>
    <mergeCell ref="C20:D20"/>
    <mergeCell ref="F20:G20"/>
    <mergeCell ref="N20:O20"/>
    <mergeCell ref="C21:D21"/>
    <mergeCell ref="F21:G21"/>
    <mergeCell ref="N21:O21"/>
    <mergeCell ref="C22:D22"/>
    <mergeCell ref="F22:G22"/>
    <mergeCell ref="N22:O22"/>
    <mergeCell ref="C23:D23"/>
    <mergeCell ref="F23:G23"/>
    <mergeCell ref="N23:O23"/>
    <mergeCell ref="C24:D24"/>
    <mergeCell ref="F24:G24"/>
    <mergeCell ref="N24:O24"/>
    <mergeCell ref="C25:D25"/>
    <mergeCell ref="F25:G25"/>
    <mergeCell ref="N25:O25"/>
    <mergeCell ref="C26:D26"/>
    <mergeCell ref="F26:G26"/>
    <mergeCell ref="N26:O26"/>
    <mergeCell ref="C27:D27"/>
    <mergeCell ref="F27:G27"/>
    <mergeCell ref="N27:O27"/>
    <mergeCell ref="C28:D28"/>
    <mergeCell ref="F28:G28"/>
    <mergeCell ref="N28:O28"/>
    <mergeCell ref="C29:D29"/>
    <mergeCell ref="F29:G29"/>
    <mergeCell ref="N29:O29"/>
    <mergeCell ref="C30:D30"/>
    <mergeCell ref="F30:G30"/>
    <mergeCell ref="N30:O30"/>
    <mergeCell ref="C31:D31"/>
    <mergeCell ref="F31:G31"/>
    <mergeCell ref="N31:O31"/>
    <mergeCell ref="C32:D32"/>
    <mergeCell ref="F32:G32"/>
    <mergeCell ref="N32:O32"/>
    <mergeCell ref="C33:D33"/>
    <mergeCell ref="F33:G33"/>
    <mergeCell ref="N33:O33"/>
    <mergeCell ref="C34:D34"/>
    <mergeCell ref="F34:G34"/>
    <mergeCell ref="N34:O34"/>
    <mergeCell ref="C35:D35"/>
    <mergeCell ref="F35:G35"/>
    <mergeCell ref="N35:O35"/>
    <mergeCell ref="C36:D36"/>
    <mergeCell ref="F36:G36"/>
    <mergeCell ref="N36:O36"/>
    <mergeCell ref="C37:D37"/>
    <mergeCell ref="F37:G37"/>
    <mergeCell ref="N37:O37"/>
    <mergeCell ref="C38:D38"/>
    <mergeCell ref="F38:G38"/>
    <mergeCell ref="N38:O38"/>
    <mergeCell ref="C39:D39"/>
    <mergeCell ref="F39:G39"/>
    <mergeCell ref="N39:O39"/>
    <mergeCell ref="C40:D40"/>
    <mergeCell ref="F40:G40"/>
    <mergeCell ref="N40:O40"/>
    <mergeCell ref="C41:D41"/>
    <mergeCell ref="F41:G41"/>
    <mergeCell ref="N41:O41"/>
    <mergeCell ref="C42:D42"/>
    <mergeCell ref="F42:G42"/>
    <mergeCell ref="N42:O42"/>
    <mergeCell ref="C43:D43"/>
    <mergeCell ref="F43:G43"/>
    <mergeCell ref="N43:O43"/>
    <mergeCell ref="C44:D44"/>
    <mergeCell ref="F44:G44"/>
    <mergeCell ref="N44:O44"/>
    <mergeCell ref="C45:D45"/>
    <mergeCell ref="F45:G45"/>
    <mergeCell ref="N45:O45"/>
    <mergeCell ref="C46:D46"/>
    <mergeCell ref="F46:G46"/>
    <mergeCell ref="N46:O46"/>
    <mergeCell ref="C47:D47"/>
    <mergeCell ref="F47:G47"/>
    <mergeCell ref="N47:O47"/>
    <mergeCell ref="C48:D48"/>
    <mergeCell ref="F48:G48"/>
    <mergeCell ref="N48:O48"/>
    <mergeCell ref="D52:F52"/>
    <mergeCell ref="D55:G55"/>
    <mergeCell ref="C58:D58"/>
    <mergeCell ref="E58:H58"/>
    <mergeCell ref="D60:G60"/>
    <mergeCell ref="C62:D62"/>
    <mergeCell ref="D63:G63"/>
  </mergeCells>
  <dataValidations count="21">
    <dataValidation type="list" allowBlank="1" showInputMessage="1" prompt="לחץ לקבלת רשימת הערכים" showErrorMessage="1" errorStyle="stop" sqref="I13:I15">
      <formula1>$W$13:$W$16</formula1>
      <formula2>0</formula2>
    </dataValidation>
    <dataValidation type="list" allowBlank="1" showInputMessage="1" prompt="לחץ לקבלת רשימת הערכים" showErrorMessage="1" errorStyle="stop" sqref="I16:I19">
      <formula1>$W$15:$W$19</formula1>
      <formula2>0</formula2>
    </dataValidation>
    <dataValidation type="list" allowBlank="1" showInputMessage="1" prompt="לחץ לקבלת רשימת הערכים" showErrorMessage="1" errorStyle="stop" sqref="I20">
      <formula1>$W$13:$W$16</formula1>
      <formula2>0</formula2>
    </dataValidation>
    <dataValidation type="list" allowBlank="1" showInputMessage="1" prompt="לחץ לקבלת רשימת הערכים" showErrorMessage="1" errorStyle="stop" sqref="I21:I48">
      <formula1>$W$15:$W$19</formula1>
      <formula2>0</formula2>
    </dataValidation>
    <dataValidation type="list" allowBlank="1" showErrorMessage="1" errorStyle="stop" sqref="I5">
      <formula1>$AC$11:$AC$21</formula1>
      <formula2>0</formula2>
    </dataValidation>
    <dataValidation type="list" allowBlank="1" showInputMessage="1" prompt="לחץ לקבלת רשימת ערכים " showErrorMessage="1" errorStyle="stop" sqref="J13:J15">
      <formula1>$X$13:$X$15</formula1>
      <formula2>0</formula2>
    </dataValidation>
    <dataValidation type="list" allowBlank="1" showInputMessage="1" prompt="לחץ לקבלת רשימת ערכים " showErrorMessage="1" errorStyle="stop" sqref="J16:J18">
      <formula1>$X$15:$X$17</formula1>
      <formula2>0</formula2>
    </dataValidation>
    <dataValidation type="list" allowBlank="1" showInputMessage="1" prompt="לחץ לקבלת רשימת ערכים " showErrorMessage="1" errorStyle="stop" sqref="J19:J20">
      <formula1>$X$13:$X$15</formula1>
      <formula2>0</formula2>
    </dataValidation>
    <dataValidation type="list" allowBlank="1" showInputMessage="1" prompt="לחץ לקבלת רשימת ערכים " showErrorMessage="1" errorStyle="stop" sqref="J21:J23">
      <formula1>$X$15:$X$17</formula1>
      <formula2>0</formula2>
    </dataValidation>
    <dataValidation type="list" allowBlank="1" showInputMessage="1" prompt="לחץ לקבלת רשימת ערכים " showErrorMessage="1" errorStyle="stop" sqref="J24:J26">
      <formula1>$X$13:$X$15</formula1>
      <formula2>0</formula2>
    </dataValidation>
    <dataValidation type="list" allowBlank="1" showInputMessage="1" prompt="לחץ לקבלת רשימת ערכים " showErrorMessage="1" errorStyle="stop" sqref="J27">
      <formula1>$X$15:$X$17</formula1>
      <formula2>0</formula2>
    </dataValidation>
    <dataValidation type="list" allowBlank="1" showInputMessage="1" prompt="לחץ לקבלת רשימת ערכים " showErrorMessage="1" errorStyle="stop" sqref="J28">
      <formula1>$X$13:$X$15</formula1>
      <formula2>0</formula2>
    </dataValidation>
    <dataValidation type="list" allowBlank="1" showInputMessage="1" prompt="לחץ לקבלת רשימת ערכים " showErrorMessage="1" errorStyle="stop" sqref="J29:J31">
      <formula1>$X$15:$X$17</formula1>
      <formula2>0</formula2>
    </dataValidation>
    <dataValidation type="list" allowBlank="1" showInputMessage="1" prompt="לחץ לקבלת רשימת ערכים " showErrorMessage="1" errorStyle="stop" sqref="J32">
      <formula1>$X$13:$X$15</formula1>
      <formula2>0</formula2>
    </dataValidation>
    <dataValidation type="list" allowBlank="1" showInputMessage="1" prompt="לחץ לקבלת רשימת ערכים " showErrorMessage="1" errorStyle="stop" sqref="J33:J34">
      <formula1>$X$15:$X$17</formula1>
      <formula2>0</formula2>
    </dataValidation>
    <dataValidation type="list" allowBlank="1" showInputMessage="1" prompt="לחץ לקבלת רשימת ערכים " showErrorMessage="1" errorStyle="stop" sqref="J35">
      <formula1>$X$13:$X$15</formula1>
      <formula2>0</formula2>
    </dataValidation>
    <dataValidation type="list" allowBlank="1" showInputMessage="1" prompt="לחץ לקבלת רשימת ערכים " showErrorMessage="1" errorStyle="stop" sqref="J36">
      <formula1>$X$15:$X$17</formula1>
      <formula2>0</formula2>
    </dataValidation>
    <dataValidation type="list" allowBlank="1" showInputMessage="1" prompt="לחץ לקבלת רשימת ערכים " showErrorMessage="1" errorStyle="stop" sqref="J37:J39">
      <formula1>$X$13:$X$15</formula1>
      <formula2>0</formula2>
    </dataValidation>
    <dataValidation type="list" allowBlank="1" showInputMessage="1" prompt="לחץ לקבלת רשימת ערכים " showErrorMessage="1" errorStyle="stop" sqref="J40">
      <formula1>$X$15:$X$17</formula1>
      <formula2>0</formula2>
    </dataValidation>
    <dataValidation type="list" allowBlank="1" showInputMessage="1" prompt="לחץ לקבלת רשימת ערכים " showErrorMessage="1" errorStyle="stop" sqref="J41">
      <formula1>$X$13:$X$15</formula1>
      <formula2>0</formula2>
    </dataValidation>
    <dataValidation type="list" allowBlank="1" showInputMessage="1" prompt="לחץ לקבלת רשימת ערכים " showErrorMessage="1" errorStyle="stop" sqref="J42:J48">
      <formula1>$X$15:$X$17</formula1>
      <formula2>0</formula2>
    </dataValidation>
  </dataValidations>
  <pageMargins left="0.236111111111111" right="0.236111111111111" top="0.748611111111111" bottom="0.748611111111111" header="0.315277777777778" footer="0.315277777777778"/>
  <pageSetup paperSize="9" orientation="portrait" horizontalDpi="300" verticalDpi="300" scale="61" fitToWidth="1" fitToHeight="1" firstPageNumber="1" useFirstPageNumber="1" copies="1"/>
  <headerFooter>
    <oddHeader>&amp;L&amp;D</oddHead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5"/>
  <sheetViews>
    <sheetView workbookViewId="0" zoomScale="100" zoomScaleNormal="100" view="pageBreakPreview">
      <selection activeCell="H44" sqref="H44"/>
    </sheetView>
  </sheetViews>
  <sheetFormatPr defaultRowHeight="12.75" outlineLevelRow="0" outlineLevelCol="0" x14ac:dyDescent="0" defaultColWidth="9.13671875" customHeight="1"/>
  <cols>
    <col min="1" max="1" width="2.7" style="65" customWidth="1"/>
    <col min="2" max="2" width="8.56" style="65" customWidth="1"/>
    <col min="3" max="3" width="9.7" style="65" customWidth="1"/>
    <col min="4" max="4" width="11.99" style="65" customWidth="1"/>
    <col min="5" max="5" width="9.7" style="65" customWidth="1"/>
    <col min="6" max="6" width="5.28" style="65" customWidth="1"/>
    <col min="7" max="7" width="10.56" style="65" customWidth="1"/>
    <col min="8" max="8" width="8.85" style="65" customWidth="1"/>
    <col min="9" max="9" width="10.99" style="65" customWidth="1"/>
    <col min="10" max="10" width="8.41" style="65" customWidth="1"/>
    <col min="11" max="11" width="9.85" style="65" hidden="1" customWidth="1"/>
    <col min="12" max="12" width="9.7" style="65" hidden="1" customWidth="1"/>
    <col min="13" max="13" width="5.85" style="65" customWidth="1"/>
    <col min="14" max="14" width="5.28" style="65" customWidth="1"/>
    <col min="15" max="15" width="7.28" style="65" customWidth="1"/>
    <col min="16" max="16" width="7.56" style="65" hidden="1" customWidth="1"/>
    <col min="17" max="17" width="7.56" style="65" customWidth="1"/>
    <col min="18" max="18" width="7.99" style="65" customWidth="1"/>
    <col min="19" max="19" width="7.56" style="65" customWidth="1"/>
    <col min="20" max="22" width="9.06" style="65" hidden="1" customWidth="1"/>
    <col min="23" max="23" width="10.28" style="65" hidden="1" customWidth="1"/>
    <col min="24" max="24" width="9.06" style="65" hidden="1" customWidth="1"/>
    <col min="25" max="25" width="13.85" style="65" customWidth="1"/>
    <col min="26" max="26" width="2.7" style="65" customWidth="1"/>
    <col min="27" max="28" width="9.14" style="65" customWidth="1"/>
    <col min="29" max="29" width="9.06" style="65" hidden="1" customWidth="1"/>
    <col min="30" max="257" width="9.14" style="65" customWidth="1"/>
  </cols>
  <sheetData>
    <row r="1" ht="18" customHeight="1" spans="1:257" x14ac:dyDescent="0.25">
      <c r="A1" s="66"/>
      <c r="B1" s="67" t="s">
        <v>35</v>
      </c>
      <c r="C1" s="68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</row>
    <row r="2" ht="13.5" customHeight="1" spans="1:257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  <c r="GT2" s="66"/>
      <c r="GU2" s="66"/>
      <c r="GV2" s="66"/>
      <c r="GW2" s="66"/>
      <c r="GX2" s="66"/>
      <c r="GY2" s="66"/>
      <c r="GZ2" s="66"/>
      <c r="HA2" s="66"/>
      <c r="HB2" s="66"/>
      <c r="HC2" s="66"/>
      <c r="HD2" s="66"/>
      <c r="HE2" s="66"/>
      <c r="HF2" s="66"/>
      <c r="HG2" s="66"/>
      <c r="HH2" s="66"/>
      <c r="HI2" s="66"/>
      <c r="HJ2" s="66"/>
      <c r="HK2" s="66"/>
      <c r="HL2" s="66"/>
      <c r="HM2" s="66"/>
      <c r="HN2" s="66"/>
      <c r="HO2" s="66"/>
      <c r="HP2" s="66"/>
      <c r="HQ2" s="66"/>
      <c r="HR2" s="66"/>
      <c r="HS2" s="66"/>
      <c r="HT2" s="66"/>
      <c r="HU2" s="66"/>
      <c r="HV2" s="66"/>
      <c r="HW2" s="66"/>
      <c r="HX2" s="66"/>
      <c r="HY2" s="66"/>
      <c r="HZ2" s="66"/>
      <c r="IA2" s="66"/>
      <c r="IB2" s="66"/>
      <c r="IC2" s="66"/>
      <c r="ID2" s="66"/>
      <c r="IE2" s="66"/>
      <c r="IF2" s="66"/>
      <c r="IG2" s="66"/>
      <c r="IH2" s="66"/>
      <c r="II2" s="66"/>
      <c r="IJ2" s="66"/>
      <c r="IK2" s="66"/>
      <c r="IL2" s="66"/>
      <c r="IM2" s="66"/>
      <c r="IN2" s="66"/>
      <c r="IO2" s="66"/>
      <c r="IP2" s="66"/>
      <c r="IQ2" s="66"/>
      <c r="IR2" s="66"/>
      <c r="IS2" s="66"/>
      <c r="IT2" s="66"/>
      <c r="IU2" s="66"/>
      <c r="IV2" s="66"/>
      <c r="IW2" s="66"/>
    </row>
    <row r="3" ht="14.25" customHeight="1" spans="1:257" x14ac:dyDescent="0.25">
      <c r="A3" s="66"/>
      <c r="B3" s="70" t="s">
        <v>1</v>
      </c>
      <c r="C3" s="70"/>
      <c r="D3" s="71">
        <v>13</v>
      </c>
      <c r="E3" s="71"/>
      <c r="F3" s="71"/>
      <c r="G3" s="72" t="s">
        <v>2</v>
      </c>
      <c r="H3" s="73" t="s">
        <v>3</v>
      </c>
      <c r="I3" s="73"/>
      <c r="J3" s="73"/>
      <c r="K3" s="73"/>
      <c r="L3" s="73"/>
      <c r="M3" s="73"/>
      <c r="N3" s="74"/>
      <c r="O3" s="74"/>
      <c r="P3" s="75"/>
      <c r="Q3" s="75"/>
      <c r="R3" s="76"/>
      <c r="S3" s="75"/>
      <c r="T3" s="77"/>
      <c r="U3" s="78"/>
      <c r="V3" s="79"/>
      <c r="W3" s="79"/>
      <c r="X3" s="79"/>
      <c r="Y3" s="80"/>
      <c r="Z3" s="81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/>
      <c r="FG3" s="66"/>
      <c r="FH3" s="66"/>
      <c r="FI3" s="66"/>
      <c r="FJ3" s="66"/>
      <c r="FK3" s="66"/>
      <c r="FL3" s="66"/>
      <c r="FM3" s="66"/>
      <c r="FN3" s="66"/>
      <c r="FO3" s="66"/>
      <c r="FP3" s="66"/>
      <c r="FQ3" s="66"/>
      <c r="FR3" s="66"/>
      <c r="FS3" s="66"/>
      <c r="FT3" s="6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6"/>
      <c r="GL3" s="66"/>
      <c r="GM3" s="66"/>
      <c r="GN3" s="66"/>
      <c r="GO3" s="66"/>
      <c r="GP3" s="66"/>
      <c r="GQ3" s="66"/>
      <c r="GR3" s="66"/>
      <c r="GS3" s="66"/>
      <c r="GT3" s="66"/>
      <c r="GU3" s="66"/>
      <c r="GV3" s="66"/>
      <c r="GW3" s="66"/>
      <c r="GX3" s="66"/>
      <c r="GY3" s="66"/>
      <c r="GZ3" s="66"/>
      <c r="HA3" s="66"/>
      <c r="HB3" s="66"/>
      <c r="HC3" s="66"/>
      <c r="HD3" s="66"/>
      <c r="HE3" s="66"/>
      <c r="HF3" s="66"/>
      <c r="HG3" s="66"/>
      <c r="HH3" s="66"/>
      <c r="HI3" s="66"/>
      <c r="HJ3" s="66"/>
      <c r="HK3" s="66"/>
      <c r="HL3" s="66"/>
      <c r="HM3" s="66"/>
      <c r="HN3" s="66"/>
      <c r="HO3" s="66"/>
      <c r="HP3" s="66"/>
      <c r="HQ3" s="66"/>
      <c r="HR3" s="66"/>
      <c r="HS3" s="66"/>
      <c r="HT3" s="66"/>
      <c r="HU3" s="66"/>
      <c r="HV3" s="66"/>
      <c r="HW3" s="66"/>
      <c r="HX3" s="66"/>
      <c r="HY3" s="66"/>
      <c r="HZ3" s="66"/>
      <c r="IA3" s="66"/>
      <c r="IB3" s="66"/>
      <c r="IC3" s="66"/>
      <c r="ID3" s="66"/>
      <c r="IE3" s="66"/>
      <c r="IF3" s="66"/>
      <c r="IG3" s="66"/>
      <c r="IH3" s="66"/>
      <c r="II3" s="66"/>
      <c r="IJ3" s="66"/>
      <c r="IK3" s="66"/>
      <c r="IL3" s="66"/>
      <c r="IM3" s="66"/>
      <c r="IN3" s="66"/>
      <c r="IO3" s="66"/>
      <c r="IP3" s="66"/>
      <c r="IQ3" s="66"/>
      <c r="IR3" s="66"/>
      <c r="IS3" s="66"/>
      <c r="IT3" s="66"/>
      <c r="IU3" s="66"/>
      <c r="IV3" s="66"/>
      <c r="IW3" s="66"/>
    </row>
    <row r="4" ht="14.25" customHeight="1" spans="1:257" x14ac:dyDescent="0.25">
      <c r="A4" s="66"/>
      <c r="B4" s="82" t="s">
        <v>4</v>
      </c>
      <c r="C4" s="82"/>
      <c r="D4" s="83" t="s">
        <v>5</v>
      </c>
      <c r="E4" s="83"/>
      <c r="F4" s="83"/>
      <c r="G4" s="84" t="s">
        <v>6</v>
      </c>
      <c r="H4" s="17" t="s">
        <v>7</v>
      </c>
      <c r="I4" s="17"/>
      <c r="J4" s="17"/>
      <c r="K4" s="17"/>
      <c r="L4" s="17"/>
      <c r="M4" s="17"/>
      <c r="N4" s="85" t="s">
        <v>8</v>
      </c>
      <c r="O4" s="85"/>
      <c r="P4" s="85"/>
      <c r="Q4" s="85"/>
      <c r="R4" s="86">
        <v>43148</v>
      </c>
      <c r="S4" s="86"/>
      <c r="T4" s="87"/>
      <c r="U4" s="87"/>
      <c r="V4" s="88"/>
      <c r="W4" s="88"/>
      <c r="X4" s="88"/>
      <c r="Y4" s="89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66"/>
      <c r="DZ4" s="66"/>
      <c r="EA4" s="66"/>
      <c r="EB4" s="66"/>
      <c r="EC4" s="66"/>
      <c r="ED4" s="66"/>
      <c r="EE4" s="66"/>
      <c r="EF4" s="66"/>
      <c r="EG4" s="66"/>
      <c r="EH4" s="66"/>
      <c r="EI4" s="66"/>
      <c r="EJ4" s="66"/>
      <c r="EK4" s="66"/>
      <c r="EL4" s="66"/>
      <c r="EM4" s="66"/>
      <c r="EN4" s="66"/>
      <c r="EO4" s="66"/>
      <c r="EP4" s="66"/>
      <c r="EQ4" s="66"/>
      <c r="ER4" s="66"/>
      <c r="ES4" s="66"/>
      <c r="ET4" s="66"/>
      <c r="EU4" s="66"/>
      <c r="EV4" s="66"/>
      <c r="EW4" s="66"/>
      <c r="EX4" s="66"/>
      <c r="EY4" s="66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  <c r="FL4" s="66"/>
      <c r="FM4" s="66"/>
      <c r="FN4" s="66"/>
      <c r="FO4" s="66"/>
      <c r="FP4" s="66"/>
      <c r="FQ4" s="66"/>
      <c r="FR4" s="66"/>
      <c r="FS4" s="66"/>
      <c r="FT4" s="66"/>
      <c r="FU4" s="66"/>
      <c r="FV4" s="66"/>
      <c r="FW4" s="66"/>
      <c r="FX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  <c r="HE4" s="66"/>
      <c r="HF4" s="66"/>
      <c r="HG4" s="66"/>
      <c r="HH4" s="66"/>
      <c r="HI4" s="66"/>
      <c r="HJ4" s="66"/>
      <c r="HK4" s="66"/>
      <c r="HL4" s="66"/>
      <c r="HM4" s="66"/>
      <c r="HN4" s="66"/>
      <c r="HO4" s="66"/>
      <c r="HP4" s="66"/>
      <c r="HQ4" s="66"/>
      <c r="HR4" s="66"/>
      <c r="HS4" s="66"/>
      <c r="HT4" s="66"/>
      <c r="HU4" s="66"/>
      <c r="HV4" s="66"/>
      <c r="HW4" s="66"/>
      <c r="HX4" s="66"/>
      <c r="HY4" s="66"/>
      <c r="HZ4" s="66"/>
      <c r="IA4" s="66"/>
      <c r="IB4" s="66"/>
      <c r="IC4" s="66"/>
      <c r="ID4" s="66"/>
      <c r="IE4" s="66"/>
      <c r="IF4" s="66"/>
      <c r="IG4" s="66"/>
      <c r="IH4" s="66"/>
      <c r="II4" s="66"/>
      <c r="IJ4" s="66"/>
      <c r="IK4" s="66"/>
      <c r="IL4" s="66"/>
      <c r="IM4" s="66"/>
      <c r="IN4" s="66"/>
      <c r="IO4" s="66"/>
      <c r="IP4" s="66"/>
      <c r="IQ4" s="66"/>
      <c r="IR4" s="66"/>
      <c r="IS4" s="66"/>
      <c r="IT4" s="66"/>
      <c r="IU4" s="66"/>
      <c r="IV4" s="66"/>
      <c r="IW4" s="66"/>
    </row>
    <row r="5" ht="14.25" customHeight="1" spans="1:257" x14ac:dyDescent="0.25">
      <c r="A5" s="66"/>
      <c r="B5" s="90" t="s">
        <v>9</v>
      </c>
      <c r="C5" s="90"/>
      <c r="D5" s="90"/>
      <c r="E5" s="90"/>
      <c r="F5" s="90"/>
      <c r="G5" s="90"/>
      <c r="H5" s="90"/>
      <c r="I5" s="91">
        <v>6</v>
      </c>
      <c r="J5" s="92" t="s">
        <v>10</v>
      </c>
      <c r="K5" s="92"/>
      <c r="L5" s="92"/>
      <c r="M5" s="93" t="s">
        <v>36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6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6"/>
      <c r="FM5" s="66"/>
      <c r="FN5" s="66"/>
      <c r="FO5" s="66"/>
      <c r="FP5" s="66"/>
      <c r="FQ5" s="66"/>
      <c r="FR5" s="66"/>
      <c r="FS5" s="66"/>
      <c r="FT5" s="66"/>
      <c r="FU5" s="66"/>
      <c r="FV5" s="66"/>
      <c r="FW5" s="66"/>
      <c r="FX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  <c r="HE5" s="66"/>
      <c r="HF5" s="66"/>
      <c r="HG5" s="66"/>
      <c r="HH5" s="66"/>
      <c r="HI5" s="66"/>
      <c r="HJ5" s="66"/>
      <c r="HK5" s="66"/>
      <c r="HL5" s="66"/>
      <c r="HM5" s="66"/>
      <c r="HN5" s="66"/>
      <c r="HO5" s="66"/>
      <c r="HP5" s="66"/>
      <c r="HQ5" s="66"/>
      <c r="HR5" s="66"/>
      <c r="HS5" s="66"/>
      <c r="HT5" s="66"/>
      <c r="HU5" s="66"/>
      <c r="HV5" s="66"/>
      <c r="HW5" s="66"/>
      <c r="HX5" s="66"/>
      <c r="HY5" s="66"/>
      <c r="HZ5" s="66"/>
      <c r="IA5" s="66"/>
      <c r="IB5" s="66"/>
      <c r="IC5" s="66"/>
      <c r="ID5" s="66"/>
      <c r="IE5" s="66"/>
      <c r="IF5" s="66"/>
      <c r="IG5" s="66"/>
      <c r="IH5" s="66"/>
      <c r="II5" s="66"/>
      <c r="IJ5" s="66"/>
      <c r="IK5" s="66"/>
      <c r="IL5" s="66"/>
      <c r="IM5" s="66"/>
      <c r="IN5" s="66"/>
      <c r="IO5" s="66"/>
      <c r="IP5" s="66"/>
      <c r="IQ5" s="66"/>
      <c r="IR5" s="66"/>
      <c r="IS5" s="66"/>
      <c r="IT5" s="66"/>
      <c r="IU5" s="66"/>
      <c r="IV5" s="66"/>
      <c r="IW5" s="66"/>
    </row>
    <row r="6" ht="13.5" customHeight="1" hidden="1" spans="1:257" x14ac:dyDescent="0.25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</row>
    <row r="7" ht="14.25" customHeight="1" hidden="1" spans="2:25" x14ac:dyDescent="0.25">
      <c r="B7" s="94" t="s">
        <v>12</v>
      </c>
      <c r="C7" s="94"/>
      <c r="D7" s="94"/>
      <c r="E7" s="95">
        <v>1</v>
      </c>
      <c r="F7" s="95"/>
      <c r="G7" s="96" t="s">
        <v>13</v>
      </c>
      <c r="H7" s="95">
        <f>I5</f>
        <v>6</v>
      </c>
      <c r="I7" s="97" t="s">
        <v>14</v>
      </c>
      <c r="J7" s="95"/>
      <c r="K7" s="98"/>
      <c r="L7" s="98"/>
      <c r="M7" s="99" t="s">
        <v>15</v>
      </c>
      <c r="N7" s="99"/>
      <c r="O7" s="95"/>
      <c r="P7" s="95"/>
      <c r="Q7" s="100"/>
      <c r="R7" s="99" t="s">
        <v>16</v>
      </c>
      <c r="S7" s="99"/>
      <c r="T7" s="98"/>
      <c r="U7" s="98"/>
      <c r="V7" s="98"/>
      <c r="W7" s="98"/>
      <c r="X7" s="98"/>
      <c r="Y7" s="101">
        <f>O7*J7</f>
        <v>0</v>
      </c>
    </row>
    <row r="8" ht="14.25" customHeight="1" spans="1:25" x14ac:dyDescent="0.25">
      <c r="A8" s="65"/>
      <c r="B8" s="102"/>
      <c r="C8" s="103"/>
      <c r="D8" s="104"/>
      <c r="E8" s="105"/>
      <c r="F8" s="105"/>
      <c r="G8" s="106"/>
      <c r="H8" s="105"/>
      <c r="I8" s="107"/>
      <c r="J8" s="105"/>
      <c r="K8" s="65"/>
      <c r="L8" s="65"/>
      <c r="M8" s="65"/>
      <c r="N8" s="65"/>
      <c r="O8" s="105"/>
      <c r="P8" s="105"/>
      <c r="Q8" s="105"/>
      <c r="R8" s="65"/>
      <c r="S8" s="65"/>
      <c r="T8" s="65"/>
      <c r="U8" s="65"/>
      <c r="V8" s="65"/>
      <c r="W8" s="65"/>
      <c r="X8" s="65"/>
      <c r="Y8" s="105"/>
    </row>
    <row r="9" ht="16.5" customHeight="1" spans="2:25" x14ac:dyDescent="0.25">
      <c r="B9" s="108" t="s">
        <v>37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</row>
    <row r="10" ht="13.5" customHeight="1" spans="8:8" x14ac:dyDescent="0.25">
      <c r="H10" s="109"/>
    </row>
    <row r="11" ht="38.25" customHeight="1" spans="2:29" x14ac:dyDescent="0.25">
      <c r="B11" s="110" t="s">
        <v>38</v>
      </c>
      <c r="C11" s="111" t="s">
        <v>39</v>
      </c>
      <c r="D11" s="111"/>
      <c r="E11" s="112" t="s">
        <v>40</v>
      </c>
      <c r="F11" s="112" t="s">
        <v>41</v>
      </c>
      <c r="G11" s="112"/>
      <c r="H11" s="113" t="s">
        <v>42</v>
      </c>
      <c r="I11" s="111" t="s">
        <v>43</v>
      </c>
      <c r="J11" s="111" t="s">
        <v>44</v>
      </c>
      <c r="K11" s="114" t="s">
        <v>45</v>
      </c>
      <c r="L11" s="114" t="s">
        <v>46</v>
      </c>
      <c r="M11" s="111" t="s">
        <v>47</v>
      </c>
      <c r="N11" s="115" t="s">
        <v>48</v>
      </c>
      <c r="O11" s="115"/>
      <c r="P11" s="114" t="s">
        <v>49</v>
      </c>
      <c r="Q11" s="111" t="s">
        <v>50</v>
      </c>
      <c r="R11" s="111" t="s">
        <v>51</v>
      </c>
      <c r="S11" s="111" t="s">
        <v>52</v>
      </c>
      <c r="T11" s="116"/>
      <c r="U11" s="117"/>
      <c r="V11" s="117"/>
      <c r="W11" s="117"/>
      <c r="X11" s="117"/>
      <c r="Y11" s="118" t="s">
        <v>53</v>
      </c>
      <c r="AC11" s="119">
        <v>1</v>
      </c>
    </row>
    <row r="12" ht="41.25" customHeight="1" spans="2:29" x14ac:dyDescent="0.25">
      <c r="B12" s="120"/>
      <c r="C12" s="121"/>
      <c r="D12" s="121"/>
      <c r="E12" s="122"/>
      <c r="F12" s="123" t="s">
        <v>54</v>
      </c>
      <c r="G12" s="123"/>
      <c r="H12" s="124" t="s">
        <v>55</v>
      </c>
      <c r="I12" s="122" t="s">
        <v>56</v>
      </c>
      <c r="J12" s="122" t="s">
        <v>57</v>
      </c>
      <c r="K12" s="122" t="s">
        <v>58</v>
      </c>
      <c r="L12" s="122" t="s">
        <v>59</v>
      </c>
      <c r="M12" s="125" t="s">
        <v>60</v>
      </c>
      <c r="N12" s="126" t="s">
        <v>61</v>
      </c>
      <c r="O12" s="126"/>
      <c r="P12" s="122" t="s">
        <v>62</v>
      </c>
      <c r="Q12" s="122" t="s">
        <v>63</v>
      </c>
      <c r="R12" s="122" t="s">
        <v>64</v>
      </c>
      <c r="S12" s="122" t="s">
        <v>65</v>
      </c>
      <c r="T12" s="122" t="s">
        <v>66</v>
      </c>
      <c r="U12" s="122" t="s">
        <v>67</v>
      </c>
      <c r="V12" s="127" t="s">
        <v>68</v>
      </c>
      <c r="W12" s="122" t="s">
        <v>69</v>
      </c>
      <c r="X12" s="128" t="s">
        <v>70</v>
      </c>
      <c r="Y12" s="129"/>
      <c r="AC12" s="119">
        <v>2</v>
      </c>
    </row>
    <row r="13" ht="27" customHeight="1" spans="2:29" x14ac:dyDescent="0.25">
      <c r="B13" s="130">
        <v>1016</v>
      </c>
      <c r="C13" s="131" t="s">
        <v>71</v>
      </c>
      <c r="D13" s="131"/>
      <c r="E13" s="132" t="s">
        <v>72</v>
      </c>
      <c r="F13" s="133" t="s">
        <v>73</v>
      </c>
      <c r="G13" s="133"/>
      <c r="H13" s="134" t="s">
        <v>138</v>
      </c>
      <c r="I13" s="135">
        <v>2</v>
      </c>
      <c r="J13" s="136" t="s">
        <v>75</v>
      </c>
      <c r="K13" s="137">
        <f>IF(J13="E",0.7,IF(J13="D",0.3,IF(J13="C",0.1,0)))</f>
        <v>0</v>
      </c>
      <c r="L13" s="137">
        <f>IF(I13="רכיב לא קיים",0,I13)</f>
        <v>2</v>
      </c>
      <c r="M13" s="138">
        <f>IF(L13=5,5,K13+L13)</f>
        <v>2</v>
      </c>
      <c r="N13" s="136"/>
      <c r="O13" s="136"/>
      <c r="P13" s="137">
        <f>IF(S13=2,0,IF(S13=1.5,0.3-((M13-1)*0.3/4),IF(S13=1.2,0.6-((M13-1)*0.6/4),1.2-((M13-1)*1.2/4))))</f>
        <v>0</v>
      </c>
      <c r="Q13" s="132">
        <f>IF(M13&gt;0,P13,0)</f>
        <v>0</v>
      </c>
      <c r="R13" s="132">
        <f>IF(M13=0,0,IF(M13-Q13&gt;=1,M13-Q13,1))</f>
        <v>2</v>
      </c>
      <c r="S13" s="132">
        <v>2</v>
      </c>
      <c r="T13" s="139">
        <f>IF(M13&gt;0,S13,0)</f>
        <v>2</v>
      </c>
      <c r="U13" s="139">
        <f>IF(M13&gt;0,S13*R13,0)</f>
        <v>4</v>
      </c>
      <c r="V13" s="140">
        <f>IF(S13=2,R13,0)</f>
        <v>2</v>
      </c>
      <c r="W13" s="137" t="s">
        <v>76</v>
      </c>
      <c r="X13" s="140" t="s">
        <v>77</v>
      </c>
      <c r="Y13" s="141"/>
      <c r="AC13" s="119">
        <v>3</v>
      </c>
    </row>
    <row r="14" ht="27" customHeight="1" spans="2:29" x14ac:dyDescent="0.25">
      <c r="B14" s="142">
        <v>1002</v>
      </c>
      <c r="C14" s="143" t="s">
        <v>78</v>
      </c>
      <c r="D14" s="143"/>
      <c r="E14" s="138" t="s">
        <v>72</v>
      </c>
      <c r="F14" s="144"/>
      <c r="G14" s="144"/>
      <c r="H14" s="145" t="s">
        <v>74</v>
      </c>
      <c r="I14" s="146">
        <v>2</v>
      </c>
      <c r="J14" s="144" t="s">
        <v>75</v>
      </c>
      <c r="K14" s="147">
        <f>IF(J14="E",0.7,IF(J14="D",0.3,IF(J14="C",0.1,0)))</f>
        <v>0</v>
      </c>
      <c r="L14" s="147">
        <f>IF(I14="רכיב לא קיים",0,I14)</f>
        <v>2</v>
      </c>
      <c r="M14" s="138">
        <f>IF(L14=5,5,K14+L14)</f>
        <v>2</v>
      </c>
      <c r="N14" s="144"/>
      <c r="O14" s="144"/>
      <c r="P14" s="137">
        <f>IF(S14=2,0,IF(S14=1.5,0.3-((M14-1)*0.3/4),IF(S14=1.2,0.6-((M14-1)*0.6/4),1.2-((M14-1)*1.2/4))))</f>
        <v>0</v>
      </c>
      <c r="Q14" s="132">
        <f>IF(M14&gt;0,P14,0)</f>
        <v>0</v>
      </c>
      <c r="R14" s="132">
        <f>IF(M14=0,0,IF(M14-Q14&gt;=1,M14-Q14,1))</f>
        <v>2</v>
      </c>
      <c r="S14" s="138">
        <v>2</v>
      </c>
      <c r="T14" s="139">
        <f>IF(M14&gt;0,S14,0)</f>
        <v>2</v>
      </c>
      <c r="U14" s="139">
        <f>IF(M14&gt;0,S14*R14,0)</f>
        <v>4</v>
      </c>
      <c r="V14" s="140">
        <f>IF(S14=2,R14,0)</f>
        <v>2</v>
      </c>
      <c r="W14" s="147">
        <v>1</v>
      </c>
      <c r="X14" s="148" t="s">
        <v>75</v>
      </c>
      <c r="Y14" s="149"/>
      <c r="AC14" s="119">
        <v>4</v>
      </c>
    </row>
    <row r="15" ht="27" customHeight="1" spans="2:29" x14ac:dyDescent="0.25">
      <c r="B15" s="142">
        <v>1011</v>
      </c>
      <c r="C15" s="143" t="s">
        <v>79</v>
      </c>
      <c r="D15" s="143"/>
      <c r="E15" s="138" t="s">
        <v>72</v>
      </c>
      <c r="F15" s="144"/>
      <c r="G15" s="144"/>
      <c r="H15" s="145" t="s">
        <v>80</v>
      </c>
      <c r="I15" s="146">
        <v>2</v>
      </c>
      <c r="J15" s="144" t="s">
        <v>75</v>
      </c>
      <c r="K15" s="147">
        <f>IF(J15="E",0.7,IF(J15="D",0.3,IF(J15="C",0.1,0)))</f>
        <v>0</v>
      </c>
      <c r="L15" s="147">
        <f>IF(I15="רכיב לא קיים",0,I15)</f>
        <v>2</v>
      </c>
      <c r="M15" s="138">
        <f>IF(L15=5,5,K15+L15)</f>
        <v>2</v>
      </c>
      <c r="N15" s="144"/>
      <c r="O15" s="144"/>
      <c r="P15" s="137">
        <f>IF(S15=2,0,IF(S15=1.5,0.3-((M15-1)*0.3/4),IF(S15=1.2,0.6-((M15-1)*0.6/4),1.2-((M15-1)*1.2/4))))</f>
        <v>0</v>
      </c>
      <c r="Q15" s="132">
        <f>IF(M15&gt;0,P15,0)</f>
        <v>0</v>
      </c>
      <c r="R15" s="132">
        <f>IF(M15=0,0,IF(M15-Q15&gt;=1,M15-Q15,1))</f>
        <v>2</v>
      </c>
      <c r="S15" s="138">
        <v>2</v>
      </c>
      <c r="T15" s="139">
        <f>IF(M15&gt;0,S15,0)</f>
        <v>2</v>
      </c>
      <c r="U15" s="139">
        <f>IF(M15&gt;0,S15*R15,0)</f>
        <v>4</v>
      </c>
      <c r="V15" s="140">
        <f>IF(S15=2,R15,0)</f>
        <v>2</v>
      </c>
      <c r="W15" s="147">
        <v>2</v>
      </c>
      <c r="X15" s="148" t="s">
        <v>81</v>
      </c>
      <c r="Y15" s="149"/>
      <c r="AC15" s="119">
        <v>5</v>
      </c>
    </row>
    <row r="16" ht="27" customHeight="1" spans="2:29" x14ac:dyDescent="0.25">
      <c r="B16" s="142">
        <v>1004</v>
      </c>
      <c r="C16" s="150" t="s">
        <v>82</v>
      </c>
      <c r="D16" s="150"/>
      <c r="E16" s="138" t="s">
        <v>72</v>
      </c>
      <c r="F16" s="144"/>
      <c r="G16" s="144"/>
      <c r="H16" s="151"/>
      <c r="I16" s="146"/>
      <c r="J16" s="144"/>
      <c r="K16" s="147">
        <f>IF(J16="E",0.7,IF(J16="D",0.3,IF(J16="C",0.1,0)))</f>
        <v>0</v>
      </c>
      <c r="L16" s="147">
        <f>IF(I16="רכיב לא קיים",0,I16)</f>
        <v>0</v>
      </c>
      <c r="M16" s="138">
        <f>IF(L16=5,5,K16+L16)</f>
        <v>0</v>
      </c>
      <c r="N16" s="144"/>
      <c r="O16" s="144"/>
      <c r="P16" s="137">
        <f>IF(S16=2,0,IF(S16=1.5,0.3-((M16-1)*0.3/4),IF(S16=1.2,0.6-((M16-1)*0.6/4),1.2-((M16-1)*1.2/4))))</f>
        <v>0</v>
      </c>
      <c r="Q16" s="132">
        <f>IF(M16&gt;0,P16,0)</f>
        <v>0</v>
      </c>
      <c r="R16" s="132">
        <f>IF(M16=0,0,IF(M16-Q16&gt;=1,M16-Q16,1))</f>
        <v>0</v>
      </c>
      <c r="S16" s="138">
        <v>2</v>
      </c>
      <c r="T16" s="139">
        <f>IF(M16&gt;0,S16,0)</f>
        <v>0</v>
      </c>
      <c r="U16" s="139">
        <f>IF(M16&gt;0,S16*R16,0)</f>
        <v>0</v>
      </c>
      <c r="V16" s="140">
        <f>IF(S16=2,R16,0)</f>
        <v>0</v>
      </c>
      <c r="W16" s="147">
        <v>3</v>
      </c>
      <c r="X16" s="148" t="s">
        <v>83</v>
      </c>
      <c r="Y16" s="149" t="s">
        <v>84</v>
      </c>
      <c r="AC16" s="119">
        <v>6</v>
      </c>
    </row>
    <row r="17" ht="27" customHeight="1" spans="2:29" x14ac:dyDescent="0.25">
      <c r="B17" s="142">
        <v>1005</v>
      </c>
      <c r="C17" s="143" t="s">
        <v>85</v>
      </c>
      <c r="D17" s="143"/>
      <c r="E17" s="138" t="s">
        <v>72</v>
      </c>
      <c r="F17" s="144"/>
      <c r="G17" s="144"/>
      <c r="H17" s="151"/>
      <c r="I17" s="146"/>
      <c r="J17" s="144"/>
      <c r="K17" s="147">
        <f>IF(J17="E",0.7,IF(J17="D",0.3,IF(J17="C",0.1,0)))</f>
        <v>0</v>
      </c>
      <c r="L17" s="147">
        <f>IF(I17="רכיב לא קיים",0,I17)</f>
        <v>0</v>
      </c>
      <c r="M17" s="138">
        <f>IF(L17=5,5,K17+L17)</f>
        <v>0</v>
      </c>
      <c r="N17" s="144"/>
      <c r="O17" s="144"/>
      <c r="P17" s="137">
        <f>IF(S17=2,0,IF(S17=1.5,0.3-((M17-1)*0.3/4),IF(S17=1.2,0.6-((M17-1)*0.6/4),1.2-((M17-1)*1.2/4))))</f>
        <v>0</v>
      </c>
      <c r="Q17" s="132">
        <f>IF(M17&gt;0,P17,0)</f>
        <v>0</v>
      </c>
      <c r="R17" s="132">
        <f>IF(M17=0,0,IF(M17-Q17&gt;=1,M17-Q17,1))</f>
        <v>0</v>
      </c>
      <c r="S17" s="138">
        <v>2</v>
      </c>
      <c r="T17" s="139">
        <f>IF(M17&gt;0,S17,0)</f>
        <v>0</v>
      </c>
      <c r="U17" s="139">
        <f>IF(M17&gt;0,S17*R17,0)</f>
        <v>0</v>
      </c>
      <c r="V17" s="140">
        <f>IF(S17=2,R17,0)</f>
        <v>0</v>
      </c>
      <c r="W17" s="147">
        <v>4</v>
      </c>
      <c r="X17" s="148" t="s">
        <v>86</v>
      </c>
      <c r="Y17" s="149" t="s">
        <v>84</v>
      </c>
      <c r="AC17" s="119">
        <v>7</v>
      </c>
    </row>
    <row r="18" ht="27" customHeight="1" spans="2:29" x14ac:dyDescent="0.25">
      <c r="B18" s="142">
        <v>1007</v>
      </c>
      <c r="C18" s="143" t="s">
        <v>87</v>
      </c>
      <c r="D18" s="143"/>
      <c r="E18" s="138" t="s">
        <v>72</v>
      </c>
      <c r="F18" s="144"/>
      <c r="G18" s="144"/>
      <c r="H18" s="151"/>
      <c r="I18" s="146"/>
      <c r="J18" s="144"/>
      <c r="K18" s="147">
        <f>IF(J18="E",0.7,IF(J18="D",0.3,IF(J18="C",0.1,0)))</f>
        <v>0</v>
      </c>
      <c r="L18" s="147">
        <f>IF(I18="רכיב לא קיים",0,I18)</f>
        <v>0</v>
      </c>
      <c r="M18" s="138">
        <f>IF(L18=5,5,K18+L18)</f>
        <v>0</v>
      </c>
      <c r="N18" s="144"/>
      <c r="O18" s="144"/>
      <c r="P18" s="137">
        <f>IF(S18=2,0,IF(S18=1.5,0.3-((M18-1)*0.3/4),IF(S18=1.2,0.6-((M18-1)*0.6/4),1.2-((M18-1)*1.2/4))))</f>
        <v>0</v>
      </c>
      <c r="Q18" s="132">
        <f>IF(M18&gt;0,P18,0)</f>
        <v>0</v>
      </c>
      <c r="R18" s="132">
        <f>IF(M18=0,0,IF(M18-Q18&gt;=1,M18-Q18,1))</f>
        <v>0</v>
      </c>
      <c r="S18" s="138">
        <v>2</v>
      </c>
      <c r="T18" s="139">
        <f>IF(M18&gt;0,S18,0)</f>
        <v>0</v>
      </c>
      <c r="U18" s="139">
        <f>IF(M18&gt;0,S18*R18,0)</f>
        <v>0</v>
      </c>
      <c r="V18" s="140">
        <f>IF(S18=2,R18,0)</f>
        <v>0</v>
      </c>
      <c r="W18" s="147">
        <v>4</v>
      </c>
      <c r="X18" s="148" t="s">
        <v>86</v>
      </c>
      <c r="Y18" s="149" t="s">
        <v>84</v>
      </c>
      <c r="AC18" s="119">
        <v>7</v>
      </c>
    </row>
    <row r="19" ht="27" customHeight="1" spans="2:29" x14ac:dyDescent="0.25">
      <c r="B19" s="142">
        <v>1006</v>
      </c>
      <c r="C19" s="150" t="s">
        <v>88</v>
      </c>
      <c r="D19" s="150"/>
      <c r="E19" s="138" t="s">
        <v>72</v>
      </c>
      <c r="F19" s="144"/>
      <c r="G19" s="144"/>
      <c r="H19" s="145" t="s">
        <v>139</v>
      </c>
      <c r="I19" s="146">
        <v>2</v>
      </c>
      <c r="J19" s="144" t="s">
        <v>75</v>
      </c>
      <c r="K19" s="147">
        <f>IF(J19="E",0.7,IF(J19="D",0.3,IF(J19="C",0.1,0)))</f>
        <v>0</v>
      </c>
      <c r="L19" s="147">
        <f>IF(I19="רכיב לא קיים",0,I19)</f>
        <v>2</v>
      </c>
      <c r="M19" s="212">
        <f>IF(L19=5,5,K19+L19)</f>
        <v>2</v>
      </c>
      <c r="N19" s="144"/>
      <c r="O19" s="144"/>
      <c r="P19" s="137">
        <f>IF(S19=2,0,IF(S19=1.5,0.3-((M19-1)*0.3/4),IF(S19=1.2,0.6-((M19-1)*0.6/4),1.2-((M19-1)*1.2/4))))</f>
        <v>0</v>
      </c>
      <c r="Q19" s="132">
        <f>IF(M19&gt;0,P19,0)</f>
        <v>0</v>
      </c>
      <c r="R19" s="132">
        <f>IF(M19=0,0,IF(M19-Q19&gt;=1,M19-Q19,1))</f>
        <v>2</v>
      </c>
      <c r="S19" s="138">
        <v>2</v>
      </c>
      <c r="T19" s="139">
        <f>IF(M19&gt;0,S19,0)</f>
        <v>2</v>
      </c>
      <c r="U19" s="139">
        <f>IF(M19&gt;0,S19*R19,0)</f>
        <v>4</v>
      </c>
      <c r="V19" s="140">
        <f>IF(S19=2,R19,0)</f>
        <v>2</v>
      </c>
      <c r="W19" s="147">
        <v>5</v>
      </c>
      <c r="X19" s="148"/>
      <c r="Y19" s="149"/>
      <c r="AC19" s="119">
        <v>8</v>
      </c>
    </row>
    <row r="20" ht="27" customHeight="1" spans="2:29" x14ac:dyDescent="0.25">
      <c r="B20" s="142">
        <v>6008</v>
      </c>
      <c r="C20" s="150" t="s">
        <v>89</v>
      </c>
      <c r="D20" s="150"/>
      <c r="E20" s="138" t="s">
        <v>90</v>
      </c>
      <c r="F20" s="144"/>
      <c r="G20" s="144"/>
      <c r="H20" s="145" t="s">
        <v>74</v>
      </c>
      <c r="I20" s="146">
        <v>2</v>
      </c>
      <c r="J20" s="144" t="s">
        <v>75</v>
      </c>
      <c r="K20" s="147">
        <f>IF(J20="E",0.7,IF(J20="D",0.3,IF(J20="C",0.1,0)))</f>
        <v>0</v>
      </c>
      <c r="L20" s="147">
        <f>IF(I20="רכיב לא קיים",0,I20)</f>
        <v>2</v>
      </c>
      <c r="M20" s="138">
        <f>IF(L20=5,5,K20+L20)</f>
        <v>2</v>
      </c>
      <c r="N20" s="144"/>
      <c r="O20" s="144"/>
      <c r="P20" s="137">
        <f>IF(S20=2,0,IF(S20=1.5,0.3-((M20-1)*0.3/4),IF(S20=1.2,0.6-((M20-1)*0.6/4),1.2-((M20-1)*1.2/4))))</f>
        <v>0.225</v>
      </c>
      <c r="Q20" s="132">
        <f>IF(M20&gt;0,P20,0)</f>
        <v>0.225</v>
      </c>
      <c r="R20" s="132">
        <f>IF(M20=0,0,IF(M20-Q20&gt;=1,M20-Q20,1))</f>
        <v>1.775</v>
      </c>
      <c r="S20" s="138">
        <v>1.5</v>
      </c>
      <c r="T20" s="139">
        <f>IF(M20&gt;0,S20,0)</f>
        <v>1.5</v>
      </c>
      <c r="U20" s="139">
        <f>IF(M20&gt;0,S20*R20,0)</f>
        <v>2.6625</v>
      </c>
      <c r="V20" s="140">
        <f>IF(S20=2,R20,0)</f>
        <v>0</v>
      </c>
      <c r="W20" s="65"/>
      <c r="X20" s="65"/>
      <c r="Y20" s="149"/>
      <c r="AC20" s="119">
        <v>9</v>
      </c>
    </row>
    <row r="21" ht="27" customHeight="1" spans="2:29" x14ac:dyDescent="0.25">
      <c r="B21" s="142">
        <v>2001</v>
      </c>
      <c r="C21" s="143" t="s">
        <v>91</v>
      </c>
      <c r="D21" s="143"/>
      <c r="E21" s="138" t="s">
        <v>90</v>
      </c>
      <c r="F21" s="144"/>
      <c r="G21" s="144"/>
      <c r="H21" s="151"/>
      <c r="I21" s="146"/>
      <c r="J21" s="144"/>
      <c r="K21" s="147">
        <f>IF(J21="E",0.7,IF(J21="D",0.3,IF(J21="C",0.1,0)))</f>
        <v>0</v>
      </c>
      <c r="L21" s="147">
        <f>IF(I21="רכיב לא קיים",0,I21)</f>
        <v>0</v>
      </c>
      <c r="M21" s="138">
        <f>IF(L21=5,5,K21+L21)</f>
        <v>0</v>
      </c>
      <c r="N21" s="144"/>
      <c r="O21" s="144"/>
      <c r="P21" s="137">
        <f>IF(S21=2,0,IF(S21=1.5,0.3-((M21-1)*0.3/4),IF(S21=1.2,0.6-((M21-1)*0.6/4),1.2-((M21-1)*1.2/4))))</f>
        <v>0.375</v>
      </c>
      <c r="Q21" s="132">
        <f>IF(M21&gt;0,P21,0)</f>
        <v>0</v>
      </c>
      <c r="R21" s="132">
        <f>IF(M21=0,0,IF(M21-Q21&gt;=1,M21-Q21,1))</f>
        <v>0</v>
      </c>
      <c r="S21" s="138">
        <v>1.5</v>
      </c>
      <c r="T21" s="139">
        <f>IF(M21&gt;0,S21,0)</f>
        <v>0</v>
      </c>
      <c r="U21" s="139">
        <f>IF(M21&gt;0,S21*R21,0)</f>
        <v>0</v>
      </c>
      <c r="V21" s="140">
        <f>IF(S21=2,R21,0)</f>
        <v>0</v>
      </c>
      <c r="W21" s="65"/>
      <c r="X21" s="65"/>
      <c r="Y21" s="152" t="s">
        <v>92</v>
      </c>
      <c r="AC21" s="119">
        <v>10</v>
      </c>
    </row>
    <row r="22" ht="27" customHeight="1" spans="2:25" x14ac:dyDescent="0.25">
      <c r="B22" s="142">
        <v>2002</v>
      </c>
      <c r="C22" s="143" t="s">
        <v>93</v>
      </c>
      <c r="D22" s="143"/>
      <c r="E22" s="138" t="s">
        <v>90</v>
      </c>
      <c r="F22" s="144"/>
      <c r="G22" s="144"/>
      <c r="H22" s="145" t="s">
        <v>139</v>
      </c>
      <c r="I22" s="146">
        <v>2</v>
      </c>
      <c r="J22" s="144" t="s">
        <v>81</v>
      </c>
      <c r="K22" s="147">
        <f>IF(J22="E",0.7,IF(J22="D",0.3,IF(J22="C",0.1,0)))</f>
        <v>0.1</v>
      </c>
      <c r="L22" s="147">
        <f>IF(I22="רכיב לא קיים",0,I22)</f>
        <v>2</v>
      </c>
      <c r="M22" s="138">
        <f>IF(L22=5,5,K22+L22)</f>
        <v>2.1</v>
      </c>
      <c r="N22" s="144"/>
      <c r="O22" s="144"/>
      <c r="P22" s="137">
        <f>IF(S22=2,0,IF(S22=1.5,0.3-((M22-1)*0.3/4),IF(S22=1.2,0.6-((M22-1)*0.6/4),1.2-((M22-1)*1.2/4))))</f>
        <v>0.2175</v>
      </c>
      <c r="Q22" s="132">
        <f>IF(M22&gt;0,P22,0)</f>
        <v>0.2175</v>
      </c>
      <c r="R22" s="132">
        <f>IF(M22=0,0,IF(M22-Q22&gt;=1,M22-Q22,1))</f>
        <v>1.8825</v>
      </c>
      <c r="S22" s="138">
        <v>1.5</v>
      </c>
      <c r="T22" s="139">
        <f>IF(M22&gt;0,S22,0)</f>
        <v>1.5</v>
      </c>
      <c r="U22" s="139">
        <f>IF(M22&gt;0,S22*R22,0)</f>
        <v>2.82375</v>
      </c>
      <c r="V22" s="140">
        <f>IF(S22=2,R22,0)</f>
        <v>0</v>
      </c>
      <c r="W22" s="65"/>
      <c r="X22" s="65"/>
      <c r="Y22" s="149" t="s">
        <v>84</v>
      </c>
    </row>
    <row r="23" ht="27" customHeight="1" spans="2:25" x14ac:dyDescent="0.25">
      <c r="B23" s="142">
        <v>2003</v>
      </c>
      <c r="C23" s="150" t="s">
        <v>95</v>
      </c>
      <c r="D23" s="150"/>
      <c r="E23" s="138" t="s">
        <v>90</v>
      </c>
      <c r="F23" s="144"/>
      <c r="G23" s="144"/>
      <c r="H23" s="151"/>
      <c r="I23" s="146"/>
      <c r="J23" s="144"/>
      <c r="K23" s="147">
        <f>IF(J23="E",0.7,IF(J23="D",0.3,IF(J23="C",0.1,0)))</f>
        <v>0</v>
      </c>
      <c r="L23" s="147">
        <f>IF(I23="רכיב לא קיים",0,I23)</f>
        <v>0</v>
      </c>
      <c r="M23" s="138">
        <f>IF(L23=5,5,K23+L23)</f>
        <v>0</v>
      </c>
      <c r="N23" s="144"/>
      <c r="O23" s="144"/>
      <c r="P23" s="137">
        <f>IF(S23=2,0,IF(S23=1.5,0.3-((M23-1)*0.3/4),IF(S23=1.2,0.6-((M23-1)*0.6/4),1.2-((M23-1)*1.2/4))))</f>
        <v>0.375</v>
      </c>
      <c r="Q23" s="132">
        <f>IF(M23&gt;0,P23,0)</f>
        <v>0</v>
      </c>
      <c r="R23" s="132">
        <f>IF(M23=0,0,IF(M23-Q23&gt;=1,M23-Q23,1))</f>
        <v>0</v>
      </c>
      <c r="S23" s="138">
        <v>1.5</v>
      </c>
      <c r="T23" s="139">
        <f>IF(M23&gt;0,S23,0)</f>
        <v>0</v>
      </c>
      <c r="U23" s="139">
        <f>IF(M23&gt;0,S23*R23,0)</f>
        <v>0</v>
      </c>
      <c r="V23" s="140">
        <f>IF(S23=2,R23,0)</f>
        <v>0</v>
      </c>
      <c r="W23" s="65"/>
      <c r="X23" s="65"/>
      <c r="Y23" s="149" t="s">
        <v>84</v>
      </c>
    </row>
    <row r="24" ht="27" customHeight="1" spans="2:25" x14ac:dyDescent="0.25">
      <c r="B24" s="142">
        <v>2004</v>
      </c>
      <c r="C24" s="143" t="s">
        <v>96</v>
      </c>
      <c r="D24" s="143"/>
      <c r="E24" s="138" t="s">
        <v>72</v>
      </c>
      <c r="F24" s="144"/>
      <c r="G24" s="144"/>
      <c r="H24" s="145"/>
      <c r="I24" s="146"/>
      <c r="J24" s="144"/>
      <c r="K24" s="147">
        <f>IF(J24="E",0.7,IF(J24="D",0.3,IF(J24="C",0.1,0)))</f>
        <v>0</v>
      </c>
      <c r="L24" s="147">
        <f>IF(I24="רכיב לא קיים",0,I24)</f>
        <v>0</v>
      </c>
      <c r="M24" s="138">
        <f>IF(L24=5,5,K24+L24)</f>
        <v>0</v>
      </c>
      <c r="N24" s="144"/>
      <c r="O24" s="144"/>
      <c r="P24" s="147">
        <f>IF(S24=2,0,IF(S24=1.5,0.3-((M24-1)*0.3/4),IF(S24=1.2,0.6-((M24-1)*0.6/4),1.2-((M24-1)*1.2/4))))</f>
        <v>0</v>
      </c>
      <c r="Q24" s="132">
        <f>IF(M24&gt;0,P24,0)</f>
        <v>0</v>
      </c>
      <c r="R24" s="132">
        <f>IF(M24=0,0,IF(M24-Q24&gt;=1,M24-Q24,1))</f>
        <v>0</v>
      </c>
      <c r="S24" s="138">
        <v>2</v>
      </c>
      <c r="T24" s="139">
        <f>IF(M24&gt;0,S24,0)</f>
        <v>0</v>
      </c>
      <c r="U24" s="139">
        <f>IF(M24&gt;0,S24*R24,0)</f>
        <v>0</v>
      </c>
      <c r="V24" s="140">
        <f>IF(S24=2,R24,0)</f>
        <v>0</v>
      </c>
      <c r="W24" s="65"/>
      <c r="X24" s="65"/>
      <c r="Y24" s="149"/>
    </row>
    <row r="25" ht="27" customHeight="1" spans="2:25" x14ac:dyDescent="0.25">
      <c r="B25" s="142">
        <v>2005</v>
      </c>
      <c r="C25" s="150" t="s">
        <v>97</v>
      </c>
      <c r="D25" s="150"/>
      <c r="E25" s="138" t="s">
        <v>72</v>
      </c>
      <c r="F25" s="144"/>
      <c r="G25" s="144"/>
      <c r="H25" s="145" t="s">
        <v>146</v>
      </c>
      <c r="I25" s="146">
        <v>2</v>
      </c>
      <c r="J25" s="144" t="s">
        <v>75</v>
      </c>
      <c r="K25" s="147">
        <f>IF(J25="E",0.7,IF(J25="D",0.3,IF(J25="C",0.1,0)))</f>
        <v>0</v>
      </c>
      <c r="L25" s="147">
        <f>IF(I25="רכיב לא קיים",0,I25)</f>
        <v>2</v>
      </c>
      <c r="M25" s="138">
        <f>IF(L25=5,5,K25+L25)</f>
        <v>2</v>
      </c>
      <c r="N25" s="144"/>
      <c r="O25" s="144"/>
      <c r="P25" s="147">
        <f>IF(S25=2,0,IF(S25=1.5,0.3-((M25-1)*0.3/4),IF(S25=1.2,0.6-((M25-1)*0.6/4),1.2-((M25-1)*1.2/4))))</f>
        <v>0</v>
      </c>
      <c r="Q25" s="132">
        <f>IF(M25&gt;0,P25,0)</f>
        <v>0</v>
      </c>
      <c r="R25" s="132">
        <f>IF(M25=0,0,IF(M25-Q25&gt;=1,M25-Q25,1))</f>
        <v>2</v>
      </c>
      <c r="S25" s="138">
        <v>2</v>
      </c>
      <c r="T25" s="139">
        <f>IF(M25&gt;0,S25,0)</f>
        <v>2</v>
      </c>
      <c r="U25" s="139">
        <f>IF(M25&gt;0,S25*R25,0)</f>
        <v>4</v>
      </c>
      <c r="V25" s="140">
        <f>IF(S25=2,R25,0)</f>
        <v>2</v>
      </c>
      <c r="W25" s="65"/>
      <c r="X25" s="65"/>
      <c r="Y25" s="149"/>
    </row>
    <row r="26" ht="27" customHeight="1" spans="2:25" x14ac:dyDescent="0.25">
      <c r="B26" s="142">
        <v>2006</v>
      </c>
      <c r="C26" s="150" t="s">
        <v>98</v>
      </c>
      <c r="D26" s="150"/>
      <c r="E26" s="138" t="s">
        <v>90</v>
      </c>
      <c r="F26" s="144"/>
      <c r="G26" s="144"/>
      <c r="H26" s="145" t="s">
        <v>147</v>
      </c>
      <c r="I26" s="146">
        <v>2</v>
      </c>
      <c r="J26" s="144" t="s">
        <v>75</v>
      </c>
      <c r="K26" s="147">
        <f>IF(J26="E",0.7,IF(J26="D",0.3,IF(J26="C",0.1,0)))</f>
        <v>0</v>
      </c>
      <c r="L26" s="147">
        <f>IF(I26="רכיב לא קיים",0,I26)</f>
        <v>2</v>
      </c>
      <c r="M26" s="138">
        <f>IF(L26=5,5,K26+L26)</f>
        <v>2</v>
      </c>
      <c r="N26" s="144"/>
      <c r="O26" s="144"/>
      <c r="P26" s="147">
        <f>IF(S26=2,0,IF(S26=1.5,0.3-((M26-1)*0.3/4),IF(S26=1.2,0.6-((M26-1)*0.6/4),1.2-((M26-1)*1.2/4))))</f>
        <v>0.225</v>
      </c>
      <c r="Q26" s="132">
        <f>IF(M26&gt;0,P26,0)</f>
        <v>0.225</v>
      </c>
      <c r="R26" s="132">
        <f>IF(M26=0,0,IF(M26-Q26&gt;=1,M26-Q26,1))</f>
        <v>1.775</v>
      </c>
      <c r="S26" s="138">
        <v>1.5</v>
      </c>
      <c r="T26" s="139">
        <f>IF(M26&gt;0,S26,0)</f>
        <v>1.5</v>
      </c>
      <c r="U26" s="139">
        <f>IF(M26&gt;0,S26*R26,0)</f>
        <v>2.6625</v>
      </c>
      <c r="V26" s="140">
        <f>IF(S26=2,R26,0)</f>
        <v>0</v>
      </c>
      <c r="W26" s="65"/>
      <c r="X26" s="65"/>
      <c r="Y26" s="149"/>
    </row>
    <row r="27" ht="27" customHeight="1" spans="2:25" x14ac:dyDescent="0.25">
      <c r="B27" s="142">
        <v>2007</v>
      </c>
      <c r="C27" s="150" t="s">
        <v>99</v>
      </c>
      <c r="D27" s="150"/>
      <c r="E27" s="138" t="s">
        <v>90</v>
      </c>
      <c r="F27" s="144"/>
      <c r="G27" s="144"/>
      <c r="H27" s="151"/>
      <c r="I27" s="146"/>
      <c r="J27" s="144"/>
      <c r="K27" s="147">
        <f>IF(J27="E",0.7,IF(J27="D",0.3,IF(J27="C",0.1,0)))</f>
        <v>0</v>
      </c>
      <c r="L27" s="147">
        <f>IF(I27="רכיב לא קיים",0,I27)</f>
        <v>0</v>
      </c>
      <c r="M27" s="138">
        <f>IF(L27=5,5,K27+L27)</f>
        <v>0</v>
      </c>
      <c r="N27" s="144"/>
      <c r="O27" s="144"/>
      <c r="P27" s="147">
        <f>IF(S27=2,0,IF(S27=1.5,0.3-((M27-1)*0.3/4),IF(S27=1.2,0.6-((M27-1)*0.6/4),1.2-((M27-1)*1.2/4))))</f>
        <v>0.375</v>
      </c>
      <c r="Q27" s="132">
        <f>IF(M27&gt;0,P27,0)</f>
        <v>0</v>
      </c>
      <c r="R27" s="132">
        <f>IF(M27=0,0,IF(M27-Q27&gt;=1,M27-Q27,1))</f>
        <v>0</v>
      </c>
      <c r="S27" s="138">
        <v>1.5</v>
      </c>
      <c r="T27" s="139">
        <f>IF(M27&gt;0,S27,0)</f>
        <v>0</v>
      </c>
      <c r="U27" s="139">
        <f>IF(M27&gt;0,S27*R27,0)</f>
        <v>0</v>
      </c>
      <c r="V27" s="140">
        <f>IF(S27=2,R27,0)</f>
        <v>0</v>
      </c>
      <c r="W27" s="65"/>
      <c r="X27" s="65"/>
      <c r="Y27" s="149" t="s">
        <v>84</v>
      </c>
    </row>
    <row r="28" ht="27" customHeight="1" spans="2:25" x14ac:dyDescent="0.25">
      <c r="B28" s="142">
        <v>2008</v>
      </c>
      <c r="C28" s="143" t="s">
        <v>100</v>
      </c>
      <c r="D28" s="143"/>
      <c r="E28" s="138" t="s">
        <v>101</v>
      </c>
      <c r="F28" s="144"/>
      <c r="G28" s="144"/>
      <c r="H28" s="145"/>
      <c r="I28" s="146"/>
      <c r="J28" s="144"/>
      <c r="K28" s="147">
        <f>IF(J28="E",0.7,IF(J28="D",0.3,IF(J28="C",0.1,0)))</f>
        <v>0</v>
      </c>
      <c r="L28" s="147">
        <f>IF(I28="רכיב לא קיים",0,I28)</f>
        <v>0</v>
      </c>
      <c r="M28" s="138">
        <f>IF(L28=5,5,K28+L28)</f>
        <v>0</v>
      </c>
      <c r="N28" s="144"/>
      <c r="O28" s="144"/>
      <c r="P28" s="147">
        <f>IF(S28=2,0,IF(S28=1.5,0.3-((M28-1)*0.3/4),IF(S28=1.2,0.6-((M28-1)*0.6/4),1.2-((M28-1)*1.2/4))))</f>
        <v>0.75</v>
      </c>
      <c r="Q28" s="132">
        <f>IF(M28&gt;0,P28,0)</f>
        <v>0</v>
      </c>
      <c r="R28" s="132">
        <f>IF(M28=0,0,IF(M28-Q28&gt;=1,M28-Q28,1))</f>
        <v>0</v>
      </c>
      <c r="S28" s="138">
        <v>1.2</v>
      </c>
      <c r="T28" s="139">
        <f>IF(M28&gt;0,S28,0)</f>
        <v>0</v>
      </c>
      <c r="U28" s="139">
        <f>IF(M28&gt;0,S28*R28,0)</f>
        <v>0</v>
      </c>
      <c r="V28" s="140">
        <f>IF(S28=2,R28,0)</f>
        <v>0</v>
      </c>
      <c r="W28" s="65"/>
      <c r="X28" s="65"/>
      <c r="Y28" s="149"/>
    </row>
    <row r="29" ht="27" customHeight="1" spans="2:25" x14ac:dyDescent="0.25">
      <c r="B29" s="142">
        <v>3001</v>
      </c>
      <c r="C29" s="150" t="s">
        <v>102</v>
      </c>
      <c r="D29" s="150"/>
      <c r="E29" s="138" t="s">
        <v>101</v>
      </c>
      <c r="F29" s="144"/>
      <c r="G29" s="144"/>
      <c r="H29" s="151"/>
      <c r="I29" s="146"/>
      <c r="J29" s="144"/>
      <c r="K29" s="147">
        <f>IF(J29="E",0.7,IF(J29="D",0.3,IF(J29="C",0.1,0)))</f>
        <v>0</v>
      </c>
      <c r="L29" s="147">
        <f>IF(I29="רכיב לא קיים",0,I29)</f>
        <v>0</v>
      </c>
      <c r="M29" s="138">
        <f>IF(L29=5,5,K29+L29)</f>
        <v>0</v>
      </c>
      <c r="N29" s="144"/>
      <c r="O29" s="144"/>
      <c r="P29" s="147">
        <f>IF(S29=2,0,IF(S29=1.5,0.3-((M29-1)*0.3/4),IF(S29=1.2,0.6-((M29-1)*0.6/4),1.2-((M29-1)*1.2/4))))</f>
        <v>0.75</v>
      </c>
      <c r="Q29" s="132">
        <f>IF(M29&gt;0,P29,0)</f>
        <v>0</v>
      </c>
      <c r="R29" s="132">
        <f>IF(M29=0,0,IF(M29-Q29&gt;=1,M29-Q29,1))</f>
        <v>0</v>
      </c>
      <c r="S29" s="138">
        <v>1.2</v>
      </c>
      <c r="T29" s="139">
        <f>IF(M29&gt;0,S29,0)</f>
        <v>0</v>
      </c>
      <c r="U29" s="139">
        <f>IF(M29&gt;0,S29*R29,0)</f>
        <v>0</v>
      </c>
      <c r="V29" s="140">
        <f>IF(S29=2,R29,0)</f>
        <v>0</v>
      </c>
      <c r="W29" s="65"/>
      <c r="X29" s="65"/>
      <c r="Y29" s="149" t="s">
        <v>84</v>
      </c>
    </row>
    <row r="30" ht="27" customHeight="1" spans="2:25" x14ac:dyDescent="0.25">
      <c r="B30" s="142">
        <v>3002</v>
      </c>
      <c r="C30" s="150" t="s">
        <v>103</v>
      </c>
      <c r="D30" s="150"/>
      <c r="E30" s="138" t="s">
        <v>101</v>
      </c>
      <c r="F30" s="144"/>
      <c r="G30" s="144"/>
      <c r="H30" s="151"/>
      <c r="I30" s="146"/>
      <c r="J30" s="144"/>
      <c r="K30" s="147">
        <f>IF(J30="E",0.7,IF(J30="D",0.3,IF(J30="C",0.1,0)))</f>
        <v>0</v>
      </c>
      <c r="L30" s="147">
        <f>IF(I30="רכיב לא קיים",0,I30)</f>
        <v>0</v>
      </c>
      <c r="M30" s="138">
        <f>IF(L30=5,5,K30+L30)</f>
        <v>0</v>
      </c>
      <c r="N30" s="144"/>
      <c r="O30" s="144"/>
      <c r="P30" s="147">
        <f>IF(S30=2,0,IF(S30=1.5,0.3-((M30-1)*0.3/4),IF(S30=1.2,0.6-((M30-1)*0.6/4),1.2-((M30-1)*1.2/4))))</f>
        <v>0.75</v>
      </c>
      <c r="Q30" s="132">
        <f>IF(M30&gt;0,P30,0)</f>
        <v>0</v>
      </c>
      <c r="R30" s="132">
        <f>IF(M30=0,0,IF(M30-Q30&gt;=1,M30-Q30,1))</f>
        <v>0</v>
      </c>
      <c r="S30" s="138">
        <v>1.2</v>
      </c>
      <c r="T30" s="139">
        <f>IF(M30&gt;0,S30,0)</f>
        <v>0</v>
      </c>
      <c r="U30" s="139">
        <f>IF(M30&gt;0,S30*R30,0)</f>
        <v>0</v>
      </c>
      <c r="V30" s="140">
        <f>IF(S30=2,R30,0)</f>
        <v>0</v>
      </c>
      <c r="W30" s="65"/>
      <c r="X30" s="65"/>
      <c r="Y30" s="149" t="s">
        <v>84</v>
      </c>
    </row>
    <row r="31" ht="27" customHeight="1" spans="2:25" x14ac:dyDescent="0.25">
      <c r="B31" s="142">
        <v>3003</v>
      </c>
      <c r="C31" s="143" t="s">
        <v>104</v>
      </c>
      <c r="D31" s="143"/>
      <c r="E31" s="138" t="s">
        <v>101</v>
      </c>
      <c r="F31" s="144"/>
      <c r="G31" s="144"/>
      <c r="H31" s="145"/>
      <c r="I31" s="146"/>
      <c r="J31" s="144"/>
      <c r="K31" s="147">
        <f>IF(J31="E",0.7,IF(J31="D",0.3,IF(J31="C",0.1,0)))</f>
        <v>0</v>
      </c>
      <c r="L31" s="147">
        <f>IF(I31="רכיב לא קיים",0,I31)</f>
        <v>0</v>
      </c>
      <c r="M31" s="138">
        <f>IF(L31=5,5,K31+L31)</f>
        <v>0</v>
      </c>
      <c r="N31" s="144"/>
      <c r="O31" s="144"/>
      <c r="P31" s="147">
        <f>IF(S31=2,0,IF(S31=1.5,0.3-((M31-1)*0.3/4),IF(S31=1.2,0.6-((M31-1)*0.6/4),1.2-((M31-1)*1.2/4))))</f>
        <v>0.75</v>
      </c>
      <c r="Q31" s="132">
        <f>IF(M31&gt;0,P31,0)</f>
        <v>0</v>
      </c>
      <c r="R31" s="132">
        <f>IF(M31=0,0,IF(M31-Q31&gt;=1,M31-Q31,1))</f>
        <v>0</v>
      </c>
      <c r="S31" s="138">
        <v>1.2</v>
      </c>
      <c r="T31" s="139">
        <f>IF(M31&gt;0,S31,0)</f>
        <v>0</v>
      </c>
      <c r="U31" s="139">
        <f>IF(M31&gt;0,S31*R31,0)</f>
        <v>0</v>
      </c>
      <c r="V31" s="140">
        <f>IF(S31=2,R31,0)</f>
        <v>0</v>
      </c>
      <c r="W31" s="65"/>
      <c r="X31" s="65"/>
      <c r="Y31" s="149" t="s">
        <v>84</v>
      </c>
    </row>
    <row r="32" ht="27" customHeight="1" spans="2:25" x14ac:dyDescent="0.25">
      <c r="B32" s="142">
        <v>7002</v>
      </c>
      <c r="C32" s="143" t="s">
        <v>105</v>
      </c>
      <c r="D32" s="143"/>
      <c r="E32" s="138" t="s">
        <v>90</v>
      </c>
      <c r="F32" s="144"/>
      <c r="G32" s="144"/>
      <c r="H32" s="145" t="s">
        <v>148</v>
      </c>
      <c r="I32" s="146">
        <v>2</v>
      </c>
      <c r="J32" s="144" t="s">
        <v>75</v>
      </c>
      <c r="K32" s="147">
        <f>IF(J32="E",0.7,IF(J32="D",0.3,IF(J32="C",0.1,0)))</f>
        <v>0</v>
      </c>
      <c r="L32" s="147">
        <f>IF(I32="רכיב לא קיים",0,I32)</f>
        <v>2</v>
      </c>
      <c r="M32" s="138">
        <f>IF(L32=5,5,K32+L32)</f>
        <v>2</v>
      </c>
      <c r="N32" s="144"/>
      <c r="O32" s="144"/>
      <c r="P32" s="147">
        <f>IF(S32=2,0,IF(S32=1.5,0.3-((M32-1)*0.3/4),IF(S32=1.2,0.6-((M32-1)*0.6/4),1.2-((M32-1)*1.2/4))))</f>
        <v>0.225</v>
      </c>
      <c r="Q32" s="132">
        <f>IF(M32&gt;0,P32,0)</f>
        <v>0.225</v>
      </c>
      <c r="R32" s="132">
        <f>IF(M32=0,0,IF(M32-Q32&gt;=1,M32-Q32,1))</f>
        <v>1.775</v>
      </c>
      <c r="S32" s="138">
        <v>1.5</v>
      </c>
      <c r="T32" s="139">
        <f>IF(M32&gt;0,S32,0)</f>
        <v>1.5</v>
      </c>
      <c r="U32" s="139">
        <f>IF(M32&gt;0,S32*R32,0)</f>
        <v>2.6625</v>
      </c>
      <c r="V32" s="140">
        <f>IF(S32=2,R32,0)</f>
        <v>0</v>
      </c>
      <c r="W32" s="65"/>
      <c r="X32" s="65"/>
      <c r="Y32" s="149"/>
    </row>
    <row r="33" ht="27" customHeight="1" spans="2:25" x14ac:dyDescent="0.25">
      <c r="B33" s="142">
        <v>3005</v>
      </c>
      <c r="C33" s="143" t="s">
        <v>107</v>
      </c>
      <c r="D33" s="143"/>
      <c r="E33" s="138" t="s">
        <v>101</v>
      </c>
      <c r="F33" s="144"/>
      <c r="G33" s="144"/>
      <c r="H33" s="151"/>
      <c r="I33" s="146"/>
      <c r="J33" s="144"/>
      <c r="K33" s="147">
        <f>IF(J33="E",0.7,IF(J33="D",0.3,IF(J33="C",0.1,0)))</f>
        <v>0</v>
      </c>
      <c r="L33" s="147">
        <f>IF(I33="רכיב לא קיים",0,I33)</f>
        <v>0</v>
      </c>
      <c r="M33" s="138">
        <f>IF(L33=5,5,K33+L33)</f>
        <v>0</v>
      </c>
      <c r="N33" s="144"/>
      <c r="O33" s="144"/>
      <c r="P33" s="147">
        <f>IF(S33=2,0,IF(S33=1.5,0.3-((M33-1)*0.3/4),IF(S33=1.2,0.6-((M33-1)*0.6/4),1.2-((M33-1)*1.2/4))))</f>
        <v>0.75</v>
      </c>
      <c r="Q33" s="132">
        <f>IF(M33&gt;0,P33,0)</f>
        <v>0</v>
      </c>
      <c r="R33" s="132">
        <f>IF(M33=0,0,IF(M33-Q33&gt;=1,M33-Q33,1))</f>
        <v>0</v>
      </c>
      <c r="S33" s="138">
        <v>1.2</v>
      </c>
      <c r="T33" s="139">
        <f>IF(M33&gt;0,S33,0)</f>
        <v>0</v>
      </c>
      <c r="U33" s="139">
        <f>IF(M33&gt;0,S33*R33,0)</f>
        <v>0</v>
      </c>
      <c r="V33" s="140">
        <f>IF(S33=2,R33,0)</f>
        <v>0</v>
      </c>
      <c r="W33" s="65"/>
      <c r="X33" s="65"/>
      <c r="Y33" s="149" t="s">
        <v>84</v>
      </c>
    </row>
    <row r="34" ht="27" customHeight="1" spans="2:25" x14ac:dyDescent="0.25">
      <c r="B34" s="142">
        <v>3006</v>
      </c>
      <c r="C34" s="143" t="s">
        <v>108</v>
      </c>
      <c r="D34" s="143"/>
      <c r="E34" s="138" t="s">
        <v>101</v>
      </c>
      <c r="F34" s="144"/>
      <c r="G34" s="144"/>
      <c r="H34" s="151"/>
      <c r="I34" s="146"/>
      <c r="J34" s="144"/>
      <c r="K34" s="147">
        <f>IF(J34="E",0.7,IF(J34="D",0.3,IF(J34="C",0.1,0)))</f>
        <v>0</v>
      </c>
      <c r="L34" s="147">
        <f>IF(I34="רכיב לא קיים",0,I34)</f>
        <v>0</v>
      </c>
      <c r="M34" s="138">
        <f>IF(L34=5,5,K34+L34)</f>
        <v>0</v>
      </c>
      <c r="N34" s="144"/>
      <c r="O34" s="144"/>
      <c r="P34" s="147">
        <f>IF(S34=2,0,IF(S34=1.5,0.3-((M34-1)*0.3/4),IF(S34=1.2,0.6-((M34-1)*0.6/4),1.2-((M34-1)*1.2/4))))</f>
        <v>0.75</v>
      </c>
      <c r="Q34" s="132">
        <f>IF(M34&gt;0,P34,0)</f>
        <v>0</v>
      </c>
      <c r="R34" s="132">
        <f>IF(M34=0,0,IF(M34-Q34&gt;=1,M34-Q34,1))</f>
        <v>0</v>
      </c>
      <c r="S34" s="138">
        <v>1.2</v>
      </c>
      <c r="T34" s="139">
        <f>IF(M34&gt;0,S34,0)</f>
        <v>0</v>
      </c>
      <c r="U34" s="139">
        <f>IF(M34&gt;0,S34*R34,0)</f>
        <v>0</v>
      </c>
      <c r="V34" s="140">
        <f>IF(S34=2,R34,0)</f>
        <v>0</v>
      </c>
      <c r="W34" s="65"/>
      <c r="X34" s="65"/>
      <c r="Y34" s="149" t="s">
        <v>84</v>
      </c>
    </row>
    <row r="35" ht="27" customHeight="1" spans="2:25" x14ac:dyDescent="0.25">
      <c r="B35" s="142">
        <v>3007</v>
      </c>
      <c r="C35" s="143" t="s">
        <v>109</v>
      </c>
      <c r="D35" s="143"/>
      <c r="E35" s="138" t="s">
        <v>101</v>
      </c>
      <c r="F35" s="144"/>
      <c r="G35" s="144"/>
      <c r="H35" s="213">
        <v>5.1</v>
      </c>
      <c r="I35" s="146">
        <v>2</v>
      </c>
      <c r="J35" s="144" t="s">
        <v>75</v>
      </c>
      <c r="K35" s="147">
        <f>IF(J35="E",0.7,IF(J35="D",0.3,IF(J35="C",0.1,0)))</f>
        <v>0</v>
      </c>
      <c r="L35" s="147">
        <f>IF(I35="רכיב לא קיים",0,I35)</f>
        <v>2</v>
      </c>
      <c r="M35" s="138">
        <f>IF(L35=5,5,K35+L35)</f>
        <v>2</v>
      </c>
      <c r="N35" s="144"/>
      <c r="O35" s="144"/>
      <c r="P35" s="147">
        <f>IF(S35=2,0,IF(S35=1.5,0.3-((M35-1)*0.3/4),IF(S35=1.2,0.6-((M35-1)*0.6/4),1.2-((M35-1)*1.2/4))))</f>
        <v>0.45</v>
      </c>
      <c r="Q35" s="132">
        <f>IF(M35&gt;0,P35,0)</f>
        <v>0.45</v>
      </c>
      <c r="R35" s="132">
        <f>IF(M35=0,0,IF(M35-Q35&gt;=1,M35-Q35,1))</f>
        <v>1.55</v>
      </c>
      <c r="S35" s="138">
        <v>1.2</v>
      </c>
      <c r="T35" s="139">
        <f>IF(M35&gt;0,S35,0)</f>
        <v>1.2</v>
      </c>
      <c r="U35" s="139">
        <f>IF(M35&gt;0,S35*R35,0)</f>
        <v>1.86</v>
      </c>
      <c r="V35" s="140">
        <f>IF(S35=2,R35,0)</f>
        <v>0</v>
      </c>
      <c r="W35" s="65"/>
      <c r="X35" s="65"/>
      <c r="Y35" s="149"/>
    </row>
    <row r="36" ht="27" customHeight="1" spans="2:25" x14ac:dyDescent="0.25">
      <c r="B36" s="142">
        <v>4001</v>
      </c>
      <c r="C36" s="143" t="s">
        <v>111</v>
      </c>
      <c r="D36" s="143"/>
      <c r="E36" s="138" t="s">
        <v>101</v>
      </c>
      <c r="F36" s="144"/>
      <c r="G36" s="144"/>
      <c r="H36" s="151"/>
      <c r="I36" s="146"/>
      <c r="J36" s="144"/>
      <c r="K36" s="147">
        <f>IF(J36="E",0.7,IF(J36="D",0.3,IF(J36="C",0.1,0)))</f>
        <v>0</v>
      </c>
      <c r="L36" s="147">
        <f>IF(I36="רכיב לא קיים",0,I36)</f>
        <v>0</v>
      </c>
      <c r="M36" s="138">
        <f>IF(L36=5,5,K36+L36)</f>
        <v>0</v>
      </c>
      <c r="N36" s="144"/>
      <c r="O36" s="144"/>
      <c r="P36" s="147">
        <f>IF(S36=2,0,IF(S36=1.5,0.3-((M36-1)*0.3/4),IF(S36=1.2,0.6-((M36-1)*0.6/4),1.2-((M36-1)*1.2/4))))</f>
        <v>0.75</v>
      </c>
      <c r="Q36" s="132">
        <f>IF(M36&gt;0,P36,0)</f>
        <v>0</v>
      </c>
      <c r="R36" s="132">
        <f>IF(M36=0,0,IF(M36-Q36&gt;=1,M36-Q36,1))</f>
        <v>0</v>
      </c>
      <c r="S36" s="138">
        <v>1.2</v>
      </c>
      <c r="T36" s="139">
        <f>IF(M36&gt;0,S36,0)</f>
        <v>0</v>
      </c>
      <c r="U36" s="139">
        <f>IF(M36&gt;0,S36*R36,0)</f>
        <v>0</v>
      </c>
      <c r="V36" s="140">
        <f>IF(S36=2,R36,0)</f>
        <v>0</v>
      </c>
      <c r="W36" s="65"/>
      <c r="X36" s="65"/>
      <c r="Y36" s="149" t="s">
        <v>84</v>
      </c>
    </row>
    <row r="37" ht="27" customHeight="1" spans="2:25" x14ac:dyDescent="0.25">
      <c r="B37" s="142">
        <v>6009</v>
      </c>
      <c r="C37" s="143" t="s">
        <v>112</v>
      </c>
      <c r="D37" s="143"/>
      <c r="E37" s="138" t="s">
        <v>90</v>
      </c>
      <c r="F37" s="144"/>
      <c r="G37" s="144"/>
      <c r="H37" s="145"/>
      <c r="I37" s="146"/>
      <c r="J37" s="144"/>
      <c r="K37" s="147">
        <f>IF(J37="E",0.7,IF(J37="D",0.3,IF(J37="C",0.1,0)))</f>
        <v>0</v>
      </c>
      <c r="L37" s="147">
        <f>IF(I37="רכיב לא קיים",0,I37)</f>
        <v>0</v>
      </c>
      <c r="M37" s="138">
        <f>IF(L37=5,5,K37+L37)</f>
        <v>0</v>
      </c>
      <c r="N37" s="144"/>
      <c r="O37" s="144"/>
      <c r="P37" s="147">
        <f>IF(S37=2,0,IF(S37=1.5,0.3-((M37-1)*0.3/4),IF(S37=1.2,0.6-((M37-1)*0.6/4),1.2-((M37-1)*1.2/4))))</f>
        <v>0.375</v>
      </c>
      <c r="Q37" s="132">
        <f>IF(M37&gt;0,P37,0)</f>
        <v>0</v>
      </c>
      <c r="R37" s="132">
        <f>IF(M37=0,0,IF(M37-Q37&gt;=1,M37-Q37,1))</f>
        <v>0</v>
      </c>
      <c r="S37" s="138">
        <v>1.5</v>
      </c>
      <c r="T37" s="139">
        <f>IF(M37&gt;0,S37,0)</f>
        <v>0</v>
      </c>
      <c r="U37" s="139">
        <f>IF(M37&gt;0,S37*R37,0)</f>
        <v>0</v>
      </c>
      <c r="V37" s="140">
        <f>IF(S37=2,R37,0)</f>
        <v>0</v>
      </c>
      <c r="W37" s="65"/>
      <c r="X37" s="65"/>
      <c r="Y37" s="149" t="s">
        <v>84</v>
      </c>
    </row>
    <row r="38" ht="27" customHeight="1" spans="2:25" x14ac:dyDescent="0.25">
      <c r="B38" s="142">
        <v>7000</v>
      </c>
      <c r="C38" s="150" t="s">
        <v>114</v>
      </c>
      <c r="D38" s="150"/>
      <c r="E38" s="138" t="s">
        <v>101</v>
      </c>
      <c r="F38" s="144"/>
      <c r="G38" s="144"/>
      <c r="H38" s="145" t="s">
        <v>145</v>
      </c>
      <c r="I38" s="146">
        <v>2</v>
      </c>
      <c r="J38" s="144" t="s">
        <v>75</v>
      </c>
      <c r="K38" s="147">
        <f>IF(J38="E",0.7,IF(J38="D",0.3,IF(J38="C",0.1,0)))</f>
        <v>0</v>
      </c>
      <c r="L38" s="147">
        <f>IF(I38="רכיב לא קיים",0,I38)</f>
        <v>2</v>
      </c>
      <c r="M38" s="138">
        <f>IF(L38=5,5,K38+L38)</f>
        <v>2</v>
      </c>
      <c r="N38" s="144"/>
      <c r="O38" s="144"/>
      <c r="P38" s="147">
        <f>IF(S38=2,0,IF(S38=1.5,0.3-((M38-1)*0.3/4),IF(S38=1.2,0.6-((M38-1)*0.6/4),1.2-((M38-1)*1.2/4))))</f>
        <v>0.45</v>
      </c>
      <c r="Q38" s="132">
        <f>IF(M38&gt;0,P38,0)</f>
        <v>0.45</v>
      </c>
      <c r="R38" s="132">
        <f>IF(M38=0,0,IF(M38-Q38&gt;=1,M38-Q38,1))</f>
        <v>1.55</v>
      </c>
      <c r="S38" s="138">
        <v>1.2</v>
      </c>
      <c r="T38" s="139">
        <f>IF(M38&gt;0,S38,0)</f>
        <v>1.2</v>
      </c>
      <c r="U38" s="139">
        <f>IF(M38&gt;0,S38*R38,0)</f>
        <v>1.86</v>
      </c>
      <c r="V38" s="140">
        <f>IF(S38=2,R38,0)</f>
        <v>0</v>
      </c>
      <c r="W38" s="65"/>
      <c r="X38" s="65"/>
      <c r="Y38" s="149"/>
    </row>
    <row r="39" ht="27" customHeight="1" spans="2:25" x14ac:dyDescent="0.25">
      <c r="B39" s="142">
        <v>7001</v>
      </c>
      <c r="C39" s="153" t="s">
        <v>116</v>
      </c>
      <c r="D39" s="153"/>
      <c r="E39" s="138" t="s">
        <v>117</v>
      </c>
      <c r="F39" s="144"/>
      <c r="G39" s="144"/>
      <c r="H39" s="145" t="s">
        <v>141</v>
      </c>
      <c r="I39" s="146">
        <v>2</v>
      </c>
      <c r="J39" s="144" t="s">
        <v>75</v>
      </c>
      <c r="K39" s="147">
        <f>IF(J39="E",0.7,IF(J39="D",0.3,IF(J39="C",0.1,0)))</f>
        <v>0</v>
      </c>
      <c r="L39" s="147">
        <f>IF(I39="רכיב לא קיים",0,I39)</f>
        <v>2</v>
      </c>
      <c r="M39" s="138">
        <f>IF(L39=5,5,K39+L39)</f>
        <v>2</v>
      </c>
      <c r="N39" s="144"/>
      <c r="O39" s="144"/>
      <c r="P39" s="147">
        <f>IF(S39=2,0,IF(S39=1.5,0.3-((M39-1)*0.3/4),IF(S39=1.2,0.6-((M39-1)*0.6/4),1.2-((M39-1)*1.2/4))))</f>
        <v>0.9</v>
      </c>
      <c r="Q39" s="132">
        <f>IF(M39&gt;0,P39,0)</f>
        <v>0.9</v>
      </c>
      <c r="R39" s="132">
        <f>IF(M39=0,0,IF(M39-Q39&gt;=1,M39-Q39,1))</f>
        <v>1.1</v>
      </c>
      <c r="S39" s="138">
        <v>1</v>
      </c>
      <c r="T39" s="139">
        <f>IF(M39&gt;0,S39,0)</f>
        <v>1</v>
      </c>
      <c r="U39" s="139">
        <f>IF(M39&gt;0,S39*R39,0)</f>
        <v>1.1</v>
      </c>
      <c r="V39" s="140">
        <f>IF(S39=2,R39,0)</f>
        <v>0</v>
      </c>
      <c r="W39" s="65"/>
      <c r="X39" s="65"/>
      <c r="Y39" s="149"/>
    </row>
    <row r="40" ht="27" customHeight="1" spans="2:25" x14ac:dyDescent="0.25">
      <c r="B40" s="142">
        <v>5001</v>
      </c>
      <c r="C40" s="143" t="s">
        <v>119</v>
      </c>
      <c r="D40" s="143"/>
      <c r="E40" s="138" t="s">
        <v>101</v>
      </c>
      <c r="F40" s="144"/>
      <c r="G40" s="144"/>
      <c r="H40" s="145"/>
      <c r="I40" s="146"/>
      <c r="J40" s="144"/>
      <c r="K40" s="147">
        <f>IF(J40="E",0.7,IF(J40="D",0.3,IF(J40="C",0.1,0)))</f>
        <v>0</v>
      </c>
      <c r="L40" s="147">
        <f>IF(I40="רכיב לא קיים",0,I40)</f>
        <v>0</v>
      </c>
      <c r="M40" s="138">
        <f>IF(L40=5,5,K40+L40)</f>
        <v>0</v>
      </c>
      <c r="N40" s="144"/>
      <c r="O40" s="144"/>
      <c r="P40" s="147">
        <f>IF(S40=2,0,IF(S40=1.5,0.3-((M40-1)*0.3/4),IF(S40=1.2,0.6-((M40-1)*0.6/4),1.2-((M40-1)*1.2/4))))</f>
        <v>0.75</v>
      </c>
      <c r="Q40" s="132">
        <f>IF(M40&gt;0,P40,0)</f>
        <v>0</v>
      </c>
      <c r="R40" s="132">
        <f>IF(M40=0,0,IF(M40-Q40&gt;=1,M40-Q40,1))</f>
        <v>0</v>
      </c>
      <c r="S40" s="138">
        <v>1.2</v>
      </c>
      <c r="T40" s="139">
        <f>IF(M40&gt;0,S40,0)</f>
        <v>0</v>
      </c>
      <c r="U40" s="139">
        <f>IF(M40&gt;0,S40*R40,0)</f>
        <v>0</v>
      </c>
      <c r="V40" s="140">
        <f>IF(S40=2,R40,0)</f>
        <v>0</v>
      </c>
      <c r="W40" s="65"/>
      <c r="X40" s="65"/>
      <c r="Y40" s="149" t="s">
        <v>84</v>
      </c>
    </row>
    <row r="41" ht="27" customHeight="1" spans="2:25" x14ac:dyDescent="0.25">
      <c r="B41" s="142">
        <v>5002</v>
      </c>
      <c r="C41" s="143" t="s">
        <v>120</v>
      </c>
      <c r="D41" s="143"/>
      <c r="E41" s="138" t="s">
        <v>101</v>
      </c>
      <c r="F41" s="144"/>
      <c r="G41" s="144"/>
      <c r="H41" s="145" t="s">
        <v>141</v>
      </c>
      <c r="I41" s="146">
        <v>2</v>
      </c>
      <c r="J41" s="144" t="s">
        <v>75</v>
      </c>
      <c r="K41" s="147">
        <f>IF(J41="E",0.7,IF(J41="D",0.3,IF(J41="C",0.1,0)))</f>
        <v>0</v>
      </c>
      <c r="L41" s="147">
        <f>IF(I41="רכיב לא קיים",0,I41)</f>
        <v>2</v>
      </c>
      <c r="M41" s="138">
        <f>IF(L41=5,5,K41+L41)</f>
        <v>2</v>
      </c>
      <c r="N41" s="144"/>
      <c r="O41" s="144"/>
      <c r="P41" s="147">
        <f>IF(S41=2,0,IF(S41=1.5,0.3-((M41-1)*0.3/4),IF(S41=1.2,0.6-((M41-1)*0.6/4),1.2-((M41-1)*1.2/4))))</f>
        <v>0.45</v>
      </c>
      <c r="Q41" s="132">
        <f>IF(M41&gt;0,P41,0)</f>
        <v>0.45</v>
      </c>
      <c r="R41" s="132">
        <f>IF(M41=0,0,IF(M41-Q41&gt;=1,M41-Q41,1))</f>
        <v>1.55</v>
      </c>
      <c r="S41" s="138">
        <v>1.2</v>
      </c>
      <c r="T41" s="139">
        <f>IF(M41&gt;0,S41,0)</f>
        <v>1.2</v>
      </c>
      <c r="U41" s="139">
        <f>IF(M41&gt;0,S41*R41,0)</f>
        <v>1.86</v>
      </c>
      <c r="V41" s="140">
        <f>IF(S41=2,R41,0)</f>
        <v>0</v>
      </c>
      <c r="W41" s="65"/>
      <c r="X41" s="65"/>
      <c r="Y41" s="149"/>
    </row>
    <row r="42" ht="39" customHeight="1" spans="2:25" x14ac:dyDescent="0.25">
      <c r="B42" s="142">
        <v>5003</v>
      </c>
      <c r="C42" s="143" t="s">
        <v>121</v>
      </c>
      <c r="D42" s="143"/>
      <c r="E42" s="138" t="s">
        <v>101</v>
      </c>
      <c r="F42" s="144"/>
      <c r="G42" s="144"/>
      <c r="H42" s="151"/>
      <c r="I42" s="146"/>
      <c r="J42" s="144"/>
      <c r="K42" s="147">
        <f>IF(J42="E",0.7,IF(J42="D",0.3,IF(J42="C",0.1,0)))</f>
        <v>0</v>
      </c>
      <c r="L42" s="147">
        <f>IF(I42="רכיב לא קיים",0,I42)</f>
        <v>0</v>
      </c>
      <c r="M42" s="138">
        <f>IF(L42=5,5,K42+L42)</f>
        <v>0</v>
      </c>
      <c r="N42" s="144"/>
      <c r="O42" s="144"/>
      <c r="P42" s="147">
        <f>IF(S42=2,0,IF(S42=1.5,0.3-((M42-1)*0.3/4),IF(S42=1.2,0.6-((M42-1)*0.6/4),1.2-((M42-1)*1.2/4))))</f>
        <v>0.75</v>
      </c>
      <c r="Q42" s="132">
        <f>IF(M42&gt;0,P42,0)</f>
        <v>0</v>
      </c>
      <c r="R42" s="132">
        <f>IF(M42=0,0,IF(M42-Q42&gt;=1,M42-Q42,1))</f>
        <v>0</v>
      </c>
      <c r="S42" s="138">
        <v>1.2</v>
      </c>
      <c r="T42" s="139">
        <f>IF(M42&gt;0,S42,0)</f>
        <v>0</v>
      </c>
      <c r="U42" s="139">
        <f>IF(M42&gt;0,S42*R42,0)</f>
        <v>0</v>
      </c>
      <c r="V42" s="140">
        <f>IF(S42=2,R42,0)</f>
        <v>0</v>
      </c>
      <c r="W42" s="65"/>
      <c r="X42" s="65"/>
      <c r="Y42" s="149" t="s">
        <v>84</v>
      </c>
    </row>
    <row r="43" ht="27" customHeight="1" spans="2:25" x14ac:dyDescent="0.25">
      <c r="B43" s="142">
        <v>5004</v>
      </c>
      <c r="C43" s="143" t="s">
        <v>122</v>
      </c>
      <c r="D43" s="143"/>
      <c r="E43" s="138" t="s">
        <v>101</v>
      </c>
      <c r="F43" s="144"/>
      <c r="G43" s="144"/>
      <c r="H43" s="151"/>
      <c r="I43" s="146"/>
      <c r="J43" s="144"/>
      <c r="K43" s="147">
        <f>IF(J43="E",0.7,IF(J43="D",0.3,IF(J43="C",0.1,0)))</f>
        <v>0</v>
      </c>
      <c r="L43" s="147">
        <f>IF(I43="רכיב לא קיים",0,I43)</f>
        <v>0</v>
      </c>
      <c r="M43" s="138">
        <f>IF(L43=5,5,K43+L43)</f>
        <v>0</v>
      </c>
      <c r="N43" s="144"/>
      <c r="O43" s="144"/>
      <c r="P43" s="147">
        <f>IF(S43=2,0,IF(S43=1.5,0.3-((M43-1)*0.3/4),IF(S43=1.2,0.6-((M43-1)*0.6/4),1.2-((M43-1)*1.2/4))))</f>
        <v>0.75</v>
      </c>
      <c r="Q43" s="132">
        <f>IF(M43&gt;0,P43,0)</f>
        <v>0</v>
      </c>
      <c r="R43" s="132">
        <f>IF(M43=0,0,IF(M43-Q43&gt;=1,M43-Q43,1))</f>
        <v>0</v>
      </c>
      <c r="S43" s="138">
        <v>1.2</v>
      </c>
      <c r="T43" s="139">
        <f>IF(M43&gt;0,S43,0)</f>
        <v>0</v>
      </c>
      <c r="U43" s="139">
        <f>IF(M43&gt;0,S43*R43,0)</f>
        <v>0</v>
      </c>
      <c r="V43" s="140">
        <f>IF(S43=2,R43,0)</f>
        <v>0</v>
      </c>
      <c r="W43" s="65"/>
      <c r="X43" s="65"/>
      <c r="Y43" s="149" t="s">
        <v>84</v>
      </c>
    </row>
    <row r="44" ht="27" customHeight="1" spans="2:25" x14ac:dyDescent="0.25">
      <c r="B44" s="142">
        <v>5005</v>
      </c>
      <c r="C44" s="143" t="s">
        <v>123</v>
      </c>
      <c r="D44" s="143"/>
      <c r="E44" s="138" t="s">
        <v>117</v>
      </c>
      <c r="F44" s="144"/>
      <c r="G44" s="144"/>
      <c r="H44" s="151"/>
      <c r="I44" s="146"/>
      <c r="J44" s="144"/>
      <c r="K44" s="147">
        <f>IF(J44="E",0.7,IF(J44="D",0.3,IF(J44="C",0.1,0)))</f>
        <v>0</v>
      </c>
      <c r="L44" s="147">
        <f>IF(I44="רכיב לא קיים",0,I44)</f>
        <v>0</v>
      </c>
      <c r="M44" s="138">
        <f>IF(L44=5,5,K44+L44)</f>
        <v>0</v>
      </c>
      <c r="N44" s="144"/>
      <c r="O44" s="144"/>
      <c r="P44" s="147">
        <f>IF(S44=2,0,IF(S44=1.5,0.3-((M44-1)*0.3/4),IF(S44=1.2,0.6-((M44-1)*0.6/4),1.2-((M44-1)*1.2/4))))</f>
        <v>1.5</v>
      </c>
      <c r="Q44" s="132">
        <f>IF(M44&gt;0,P44,0)</f>
        <v>0</v>
      </c>
      <c r="R44" s="132">
        <f>IF(M44=0,0,IF(M44-Q44&gt;=1,M44-Q44,1))</f>
        <v>0</v>
      </c>
      <c r="S44" s="138">
        <v>1</v>
      </c>
      <c r="T44" s="139">
        <f>IF(M44&gt;0,S44,0)</f>
        <v>0</v>
      </c>
      <c r="U44" s="139">
        <f>IF(M44&gt;0,S44*R44,0)</f>
        <v>0</v>
      </c>
      <c r="V44" s="140">
        <f>IF(S44=2,R44,0)</f>
        <v>0</v>
      </c>
      <c r="W44" s="65"/>
      <c r="X44" s="65"/>
      <c r="Y44" s="149" t="s">
        <v>84</v>
      </c>
    </row>
    <row r="45" ht="27" customHeight="1" spans="2:25" x14ac:dyDescent="0.25">
      <c r="B45" s="142">
        <v>5006</v>
      </c>
      <c r="C45" s="150" t="s">
        <v>124</v>
      </c>
      <c r="D45" s="150"/>
      <c r="E45" s="138" t="s">
        <v>90</v>
      </c>
      <c r="F45" s="144"/>
      <c r="G45" s="144"/>
      <c r="H45" s="151"/>
      <c r="I45" s="146">
        <v>2</v>
      </c>
      <c r="J45" s="144" t="s">
        <v>75</v>
      </c>
      <c r="K45" s="147">
        <f>IF(J45="E",0.7,IF(J45="D",0.3,IF(J45="C",0.1,0)))</f>
        <v>0</v>
      </c>
      <c r="L45" s="147">
        <f>IF(I45="רכיב לא קיים",0,I45)</f>
        <v>2</v>
      </c>
      <c r="M45" s="138">
        <f>IF(L45=5,5,K45+L45)</f>
        <v>2</v>
      </c>
      <c r="N45" s="144"/>
      <c r="O45" s="144"/>
      <c r="P45" s="147">
        <f>IF(S45=2,0,IF(S45=1.5,0.3-((M45-1)*0.3/4),IF(S45=1.2,0.6-((M45-1)*0.6/4),1.2-((M45-1)*1.2/4))))</f>
        <v>0.225</v>
      </c>
      <c r="Q45" s="132">
        <f>IF(M45&gt;0,P45,0)</f>
        <v>0.225</v>
      </c>
      <c r="R45" s="132">
        <f>IF(M45=0,0,IF(M45-Q45&gt;=1,M45-Q45,1))</f>
        <v>1.775</v>
      </c>
      <c r="S45" s="138">
        <v>1.5</v>
      </c>
      <c r="T45" s="139">
        <f>IF(M45&gt;0,S45,0)</f>
        <v>1.5</v>
      </c>
      <c r="U45" s="139">
        <f>IF(M45&gt;0,S45*R45,0)</f>
        <v>2.6625</v>
      </c>
      <c r="V45" s="140">
        <f>IF(S45=2,R45,0)</f>
        <v>0</v>
      </c>
      <c r="W45" s="65"/>
      <c r="X45" s="65"/>
      <c r="Y45" s="149" t="s">
        <v>84</v>
      </c>
    </row>
    <row r="46" ht="27" customHeight="1" spans="2:25" x14ac:dyDescent="0.25">
      <c r="B46" s="142">
        <v>5007</v>
      </c>
      <c r="C46" s="143" t="s">
        <v>125</v>
      </c>
      <c r="D46" s="143"/>
      <c r="E46" s="138" t="s">
        <v>101</v>
      </c>
      <c r="F46" s="144"/>
      <c r="G46" s="144"/>
      <c r="H46" s="151"/>
      <c r="I46" s="146"/>
      <c r="J46" s="144"/>
      <c r="K46" s="147">
        <f>IF(J46="E",0.7,IF(J46="D",0.3,IF(J46="C",0.1,0)))</f>
        <v>0</v>
      </c>
      <c r="L46" s="147">
        <f>IF(I46="רכיב לא קיים",0,I46)</f>
        <v>0</v>
      </c>
      <c r="M46" s="138">
        <f>IF(L46=5,5,K46+L46)</f>
        <v>0</v>
      </c>
      <c r="N46" s="144"/>
      <c r="O46" s="144"/>
      <c r="P46" s="147">
        <f>IF(S46=2,0,IF(S46=1.5,0.3-((M46-1)*0.3/4),IF(S46=1.2,0.6-((M46-1)*0.6/4),1.2-((M46-1)*1.2/4))))</f>
        <v>0.75</v>
      </c>
      <c r="Q46" s="132">
        <f>IF(M46&gt;0,P46,0)</f>
        <v>0</v>
      </c>
      <c r="R46" s="132">
        <f>IF(M46=0,0,IF(M46-Q46&gt;=1,M46-Q46,1))</f>
        <v>0</v>
      </c>
      <c r="S46" s="138">
        <v>1.2</v>
      </c>
      <c r="T46" s="139">
        <f>IF(M46&gt;0,S46,0)</f>
        <v>0</v>
      </c>
      <c r="U46" s="139">
        <f>IF(M46&gt;0,S46*R46,0)</f>
        <v>0</v>
      </c>
      <c r="V46" s="140">
        <f>IF(S46=2,R46,0)</f>
        <v>0</v>
      </c>
      <c r="W46" s="65"/>
      <c r="X46" s="65"/>
      <c r="Y46" s="149" t="s">
        <v>84</v>
      </c>
    </row>
    <row r="47" ht="27" customHeight="1" spans="2:25" x14ac:dyDescent="0.25">
      <c r="B47" s="142">
        <v>5008</v>
      </c>
      <c r="C47" s="150" t="s">
        <v>126</v>
      </c>
      <c r="D47" s="150"/>
      <c r="E47" s="138" t="s">
        <v>117</v>
      </c>
      <c r="F47" s="144"/>
      <c r="G47" s="144"/>
      <c r="H47" s="145"/>
      <c r="I47" s="146"/>
      <c r="J47" s="144"/>
      <c r="K47" s="147">
        <f>IF(J47="E",0.7,IF(J47="D",0.3,IF(J47="C",0.1,0)))</f>
        <v>0</v>
      </c>
      <c r="L47" s="147">
        <f>IF(I47="רכיב לא קיים",0,I47)</f>
        <v>0</v>
      </c>
      <c r="M47" s="138">
        <f>IF(L47=5,5,K47+L47)</f>
        <v>0</v>
      </c>
      <c r="N47" s="144"/>
      <c r="O47" s="144"/>
      <c r="P47" s="147">
        <f>IF(S47=2,0,IF(S47=1.5,0.3-((M47-1)*0.3/4),IF(S47=1.2,0.6-((M47-1)*0.6/4),1.2-((M47-1)*1.2/4))))</f>
        <v>1.5</v>
      </c>
      <c r="Q47" s="132">
        <f>IF(M47&gt;0,P47,0)</f>
        <v>0</v>
      </c>
      <c r="R47" s="132">
        <f>IF(M47=0,0,IF(M47-Q47&gt;=1,M47-Q47,1))</f>
        <v>0</v>
      </c>
      <c r="S47" s="138">
        <v>1</v>
      </c>
      <c r="T47" s="139">
        <f>IF(M47&gt;0,S47,0)</f>
        <v>0</v>
      </c>
      <c r="U47" s="139">
        <f>IF(M47&gt;0,S47*R47,0)</f>
        <v>0</v>
      </c>
      <c r="V47" s="140">
        <f>IF(S47=2,R47,0)</f>
        <v>0</v>
      </c>
      <c r="W47" s="65"/>
      <c r="X47" s="65"/>
      <c r="Y47" s="149" t="s">
        <v>84</v>
      </c>
    </row>
    <row r="48" ht="27" customHeight="1" spans="2:25" x14ac:dyDescent="0.25">
      <c r="B48" s="154">
        <v>3004</v>
      </c>
      <c r="C48" s="155" t="s">
        <v>142</v>
      </c>
      <c r="D48" s="155"/>
      <c r="E48" s="156" t="s">
        <v>101</v>
      </c>
      <c r="F48" s="157"/>
      <c r="G48" s="157"/>
      <c r="H48" s="158"/>
      <c r="I48" s="159"/>
      <c r="J48" s="157"/>
      <c r="K48" s="160">
        <f>IF(J48="E",0.7,IF(J48="D",0.3,IF(J48="C",0.1,0)))</f>
        <v>0</v>
      </c>
      <c r="L48" s="160">
        <f>IF(I48="רכיב לא קיים",0,I48)</f>
        <v>0</v>
      </c>
      <c r="M48" s="156">
        <f>IF(L48=5,5,K48+L48)</f>
        <v>0</v>
      </c>
      <c r="N48" s="157"/>
      <c r="O48" s="157"/>
      <c r="P48" s="160">
        <f>IF(S48=2,0,IF(S48=1.5,0.3-((M48-1)*0.3/4),IF(S48=1.2,0.6-((M48-1)*0.6/4),1.2-((M48-1)*1.2/4))))</f>
        <v>0.75</v>
      </c>
      <c r="Q48" s="161">
        <f>IF(M48&gt;0,P48,0)</f>
        <v>0</v>
      </c>
      <c r="R48" s="161">
        <f>IF(M48=0,0,IF(M48-Q48&gt;=1,M48-Q48,1))</f>
        <v>0</v>
      </c>
      <c r="S48" s="156">
        <v>1.2</v>
      </c>
      <c r="T48" s="139">
        <f>IF(M48&gt;0,S48,0)</f>
        <v>0</v>
      </c>
      <c r="U48" s="139">
        <f>IF(M48&gt;0,S48*R48,0)</f>
        <v>0</v>
      </c>
      <c r="V48" s="140">
        <f>IF(S48=2,R48,0)</f>
        <v>0</v>
      </c>
      <c r="W48" s="109"/>
      <c r="X48" s="109"/>
      <c r="Y48" s="149" t="s">
        <v>84</v>
      </c>
    </row>
    <row r="49" ht="12.75" customHeight="1" spans="3:20" x14ac:dyDescent="0.25">
      <c r="C49" s="162"/>
      <c r="D49" s="6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63"/>
      <c r="R49" s="163"/>
      <c r="S49" s="105"/>
      <c r="T49" s="164"/>
    </row>
    <row r="50" ht="13.5" customHeight="1" spans="3:20" x14ac:dyDescent="0.25">
      <c r="C50" s="162"/>
      <c r="D50" s="6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64"/>
    </row>
    <row r="51" ht="19.5" customHeight="1" spans="3:15" x14ac:dyDescent="0.25">
      <c r="C51" s="165"/>
      <c r="D51" s="166"/>
      <c r="E51" s="167"/>
      <c r="F51" s="168" t="s">
        <v>128</v>
      </c>
      <c r="G51" s="169"/>
      <c r="H51" s="169"/>
      <c r="I51" s="170"/>
      <c r="J51" s="171"/>
      <c r="K51" s="164"/>
      <c r="L51" s="164"/>
      <c r="N51" s="172"/>
      <c r="O51" s="172"/>
    </row>
    <row r="52" ht="13.5" customHeight="1" spans="3:19" x14ac:dyDescent="0.25">
      <c r="C52" s="173"/>
      <c r="D52" s="174"/>
      <c r="E52" s="174"/>
      <c r="F52" s="174"/>
      <c r="G52" s="174"/>
      <c r="H52" s="175"/>
      <c r="I52" s="175"/>
      <c r="J52" s="176"/>
      <c r="K52" s="164"/>
      <c r="L52" s="164"/>
      <c r="N52" s="164"/>
      <c r="O52" s="164"/>
      <c r="S52" s="164"/>
    </row>
    <row r="53" ht="16.5" customHeight="1" spans="3:19" x14ac:dyDescent="0.25">
      <c r="C53" s="177">
        <f>SUM(U15:U48)/SUM(T15:T48)</f>
        <v>1.77645027624309</v>
      </c>
      <c r="D53" s="178" t="s">
        <v>129</v>
      </c>
      <c r="E53" s="178"/>
      <c r="F53" s="178"/>
      <c r="G53" s="179" t="s">
        <v>130</v>
      </c>
      <c r="H53" s="180"/>
      <c r="I53" s="181"/>
      <c r="J53" s="176"/>
      <c r="K53" s="164"/>
      <c r="L53" s="164"/>
      <c r="S53" s="164"/>
    </row>
    <row r="54" ht="15" customHeight="1" spans="3:19" x14ac:dyDescent="0.25">
      <c r="C54" s="182"/>
      <c r="D54" s="181"/>
      <c r="E54" s="183"/>
      <c r="F54" s="183"/>
      <c r="G54" s="183"/>
      <c r="H54" s="183"/>
      <c r="I54" s="183"/>
      <c r="J54" s="176"/>
      <c r="K54" s="164"/>
      <c r="L54" s="164"/>
      <c r="M54" s="164"/>
      <c r="N54" s="164"/>
      <c r="O54" s="164"/>
      <c r="R54" s="164"/>
      <c r="S54" s="164"/>
    </row>
    <row r="55" ht="13.5" customHeight="1" spans="3:19" x14ac:dyDescent="0.25">
      <c r="C55" s="173"/>
      <c r="D55" s="184"/>
      <c r="E55" s="184"/>
      <c r="F55" s="184"/>
      <c r="G55" s="184"/>
      <c r="H55" s="184"/>
      <c r="I55" s="184"/>
      <c r="J55" s="176"/>
      <c r="K55" s="164"/>
      <c r="L55" s="164"/>
      <c r="M55" s="164"/>
      <c r="N55" s="164"/>
      <c r="O55" s="164"/>
      <c r="R55" s="164"/>
      <c r="S55" s="164"/>
    </row>
    <row r="56" ht="16.5" customHeight="1" spans="3:19" x14ac:dyDescent="0.25">
      <c r="C56" s="185">
        <f>MAX(V15:V48)</f>
        <v>2</v>
      </c>
      <c r="D56" s="186" t="s">
        <v>131</v>
      </c>
      <c r="E56" s="186"/>
      <c r="F56" s="186"/>
      <c r="G56" s="186"/>
      <c r="H56" s="187" t="s">
        <v>132</v>
      </c>
      <c r="I56" s="184"/>
      <c r="J56" s="188"/>
      <c r="K56" s="189"/>
      <c r="L56" s="190"/>
      <c r="M56" s="191"/>
      <c r="N56" s="164"/>
      <c r="O56" s="164"/>
      <c r="R56" s="164"/>
      <c r="S56" s="164"/>
    </row>
    <row r="57" ht="13.5" customHeight="1" spans="3:19" x14ac:dyDescent="0.25">
      <c r="C57" s="192"/>
      <c r="D57" s="174"/>
      <c r="E57" s="174"/>
      <c r="F57" s="174"/>
      <c r="G57" s="174"/>
      <c r="H57" s="174"/>
      <c r="I57" s="174"/>
      <c r="J57" s="184"/>
      <c r="K57" s="164"/>
      <c r="L57" s="164"/>
      <c r="M57" s="191"/>
      <c r="N57" s="164"/>
      <c r="O57" s="164"/>
      <c r="R57" s="164"/>
      <c r="S57" s="164"/>
    </row>
    <row r="58" ht="13.5" customHeight="1" spans="3:19" x14ac:dyDescent="0.25">
      <c r="C58" s="164"/>
      <c r="D58" s="164"/>
      <c r="E58" s="164"/>
      <c r="F58" s="164"/>
      <c r="G58" s="164"/>
      <c r="H58" s="164"/>
      <c r="I58" s="193"/>
      <c r="J58" s="164"/>
      <c r="K58" s="164"/>
      <c r="L58" s="164"/>
      <c r="M58" s="164"/>
      <c r="N58" s="164"/>
      <c r="O58" s="164"/>
      <c r="R58" s="164"/>
      <c r="S58" s="164"/>
    </row>
    <row r="59" ht="18.75" customHeight="1" spans="3:19" x14ac:dyDescent="0.25">
      <c r="C59" s="194"/>
      <c r="D59" s="194"/>
      <c r="E59" s="195" t="s">
        <v>133</v>
      </c>
      <c r="F59" s="195"/>
      <c r="G59" s="195"/>
      <c r="H59" s="195"/>
      <c r="I59" s="167"/>
      <c r="J59" s="196"/>
      <c r="K59" s="65"/>
      <c r="L59" s="65"/>
      <c r="M59" s="65"/>
      <c r="N59" s="65"/>
      <c r="O59" s="65"/>
      <c r="R59" s="164"/>
      <c r="S59" s="164"/>
    </row>
    <row r="60" ht="13.5" customHeight="1" spans="3:15" x14ac:dyDescent="0.25">
      <c r="C60" s="180"/>
      <c r="D60" s="197"/>
      <c r="E60" s="197"/>
      <c r="F60" s="197"/>
      <c r="G60" s="197"/>
      <c r="H60" s="197"/>
      <c r="I60" s="197"/>
      <c r="J60" s="198"/>
      <c r="K60" s="65"/>
      <c r="L60" s="65"/>
      <c r="M60" s="65"/>
      <c r="N60" s="65"/>
      <c r="O60" s="65"/>
    </row>
    <row r="61" ht="18.75" customHeight="1" spans="3:17" x14ac:dyDescent="0.25">
      <c r="C61" s="60">
        <f>100-(2*((C53*C53)+(6.5*C53)-7.5))</f>
        <v>85.5945952409115</v>
      </c>
      <c r="D61" s="199" t="s">
        <v>134</v>
      </c>
      <c r="E61" s="199"/>
      <c r="F61" s="199"/>
      <c r="G61" s="199"/>
      <c r="H61" s="200" t="s">
        <v>135</v>
      </c>
      <c r="I61" s="201"/>
      <c r="J61" s="202"/>
      <c r="K61" s="65"/>
      <c r="L61" s="65"/>
      <c r="M61" s="65"/>
      <c r="N61" s="65"/>
      <c r="O61" s="65"/>
      <c r="P61" s="65"/>
      <c r="Q61" s="65"/>
    </row>
    <row r="62" ht="12.75" customHeight="1" spans="3:15" x14ac:dyDescent="0.25">
      <c r="C62" s="180"/>
      <c r="D62" s="203"/>
      <c r="E62" s="203"/>
      <c r="F62" s="203"/>
      <c r="G62" s="203"/>
      <c r="H62" s="203"/>
      <c r="I62" s="203"/>
      <c r="J62" s="198"/>
      <c r="K62" s="65"/>
      <c r="L62" s="65"/>
      <c r="M62" s="65"/>
      <c r="N62" s="65"/>
      <c r="O62" s="65"/>
    </row>
    <row r="63" ht="15.75" customHeight="1" spans="3:15" x14ac:dyDescent="0.25">
      <c r="C63" s="204"/>
      <c r="D63" s="204"/>
      <c r="E63" s="203"/>
      <c r="F63" s="203"/>
      <c r="G63" s="203"/>
      <c r="H63" s="203"/>
      <c r="I63" s="203"/>
      <c r="J63" s="198"/>
      <c r="K63" s="65"/>
      <c r="L63" s="65"/>
      <c r="M63" s="65"/>
      <c r="N63" s="65"/>
      <c r="O63" s="65"/>
    </row>
    <row r="64" ht="18.75" customHeight="1" spans="3:15" x14ac:dyDescent="0.25">
      <c r="C64" s="205">
        <f>100-(2*((C56*C56)+(6.5*C56)-7.5))</f>
        <v>81</v>
      </c>
      <c r="D64" s="206" t="s">
        <v>136</v>
      </c>
      <c r="E64" s="206"/>
      <c r="F64" s="206"/>
      <c r="G64" s="206"/>
      <c r="H64" s="200" t="s">
        <v>137</v>
      </c>
      <c r="I64" s="207"/>
      <c r="J64" s="198"/>
      <c r="K64" s="208"/>
      <c r="L64" s="208"/>
      <c r="M64" s="65"/>
      <c r="N64" s="65"/>
      <c r="O64" s="65"/>
    </row>
    <row r="65" ht="13.5" customHeight="1" spans="3:14" x14ac:dyDescent="0.25">
      <c r="C65" s="209"/>
      <c r="D65" s="210"/>
      <c r="E65" s="210"/>
      <c r="F65" s="210"/>
      <c r="G65" s="210"/>
      <c r="H65" s="210"/>
      <c r="I65" s="197"/>
      <c r="J65" s="211"/>
      <c r="K65" s="65"/>
      <c r="L65" s="65"/>
      <c r="M65" s="65"/>
      <c r="N65" s="65"/>
    </row>
  </sheetData>
  <mergeCells count="138">
    <mergeCell ref="B3:C3"/>
    <mergeCell ref="D3:F3"/>
    <mergeCell ref="H3:M3"/>
    <mergeCell ref="N3:O3"/>
    <mergeCell ref="B4:C4"/>
    <mergeCell ref="D4:F4"/>
    <mergeCell ref="H4:M4"/>
    <mergeCell ref="N4:Q4"/>
    <mergeCell ref="R4:S4"/>
    <mergeCell ref="B5:H5"/>
    <mergeCell ref="M5:Y5"/>
    <mergeCell ref="B7:D7"/>
    <mergeCell ref="E7:F7"/>
    <mergeCell ref="M7:N7"/>
    <mergeCell ref="O7:P7"/>
    <mergeCell ref="R7:S7"/>
    <mergeCell ref="B9:Y9"/>
    <mergeCell ref="C11:D11"/>
    <mergeCell ref="F11:G11"/>
    <mergeCell ref="N11:O11"/>
    <mergeCell ref="C12:D12"/>
    <mergeCell ref="F12:G12"/>
    <mergeCell ref="N12:O12"/>
    <mergeCell ref="C13:D13"/>
    <mergeCell ref="F13:G13"/>
    <mergeCell ref="N13:O13"/>
    <mergeCell ref="C14:D14"/>
    <mergeCell ref="F14:G14"/>
    <mergeCell ref="N14:O14"/>
    <mergeCell ref="C15:D15"/>
    <mergeCell ref="F15:G15"/>
    <mergeCell ref="N15:O15"/>
    <mergeCell ref="C16:D16"/>
    <mergeCell ref="F16:G16"/>
    <mergeCell ref="N16:O16"/>
    <mergeCell ref="C17:D17"/>
    <mergeCell ref="F17:G17"/>
    <mergeCell ref="N17:O17"/>
    <mergeCell ref="C18:D18"/>
    <mergeCell ref="F18:G18"/>
    <mergeCell ref="N18:O18"/>
    <mergeCell ref="C19:D19"/>
    <mergeCell ref="F19:G19"/>
    <mergeCell ref="N19:O19"/>
    <mergeCell ref="C20:D20"/>
    <mergeCell ref="F20:G20"/>
    <mergeCell ref="N20:O20"/>
    <mergeCell ref="C21:D21"/>
    <mergeCell ref="F21:G21"/>
    <mergeCell ref="N21:O21"/>
    <mergeCell ref="C22:D22"/>
    <mergeCell ref="F22:G22"/>
    <mergeCell ref="N22:O22"/>
    <mergeCell ref="C23:D23"/>
    <mergeCell ref="F23:G23"/>
    <mergeCell ref="N23:O23"/>
    <mergeCell ref="C24:D24"/>
    <mergeCell ref="F24:G24"/>
    <mergeCell ref="N24:O24"/>
    <mergeCell ref="C25:D25"/>
    <mergeCell ref="F25:G25"/>
    <mergeCell ref="N25:O25"/>
    <mergeCell ref="C26:D26"/>
    <mergeCell ref="F26:G26"/>
    <mergeCell ref="N26:O26"/>
    <mergeCell ref="C27:D27"/>
    <mergeCell ref="F27:G27"/>
    <mergeCell ref="N27:O27"/>
    <mergeCell ref="C28:D28"/>
    <mergeCell ref="F28:G28"/>
    <mergeCell ref="N28:O28"/>
    <mergeCell ref="C29:D29"/>
    <mergeCell ref="F29:G29"/>
    <mergeCell ref="N29:O29"/>
    <mergeCell ref="C30:D30"/>
    <mergeCell ref="F30:G30"/>
    <mergeCell ref="N30:O30"/>
    <mergeCell ref="C31:D31"/>
    <mergeCell ref="F31:G31"/>
    <mergeCell ref="N31:O31"/>
    <mergeCell ref="C32:D32"/>
    <mergeCell ref="F32:G32"/>
    <mergeCell ref="N32:O32"/>
    <mergeCell ref="C33:D33"/>
    <mergeCell ref="F33:G33"/>
    <mergeCell ref="N33:O33"/>
    <mergeCell ref="C34:D34"/>
    <mergeCell ref="F34:G34"/>
    <mergeCell ref="N34:O34"/>
    <mergeCell ref="C35:D35"/>
    <mergeCell ref="F35:G35"/>
    <mergeCell ref="N35:O35"/>
    <mergeCell ref="C36:D36"/>
    <mergeCell ref="F36:G36"/>
    <mergeCell ref="N36:O36"/>
    <mergeCell ref="C37:D37"/>
    <mergeCell ref="F37:G37"/>
    <mergeCell ref="N37:O37"/>
    <mergeCell ref="C38:D38"/>
    <mergeCell ref="F38:G38"/>
    <mergeCell ref="N38:O38"/>
    <mergeCell ref="C39:D39"/>
    <mergeCell ref="F39:G39"/>
    <mergeCell ref="N39:O39"/>
    <mergeCell ref="C40:D40"/>
    <mergeCell ref="F40:G40"/>
    <mergeCell ref="N40:O40"/>
    <mergeCell ref="C41:D41"/>
    <mergeCell ref="F41:G41"/>
    <mergeCell ref="N41:O41"/>
    <mergeCell ref="C42:D42"/>
    <mergeCell ref="F42:G42"/>
    <mergeCell ref="N42:O42"/>
    <mergeCell ref="C43:D43"/>
    <mergeCell ref="F43:G43"/>
    <mergeCell ref="N43:O43"/>
    <mergeCell ref="C44:D44"/>
    <mergeCell ref="F44:G44"/>
    <mergeCell ref="N44:O44"/>
    <mergeCell ref="C45:D45"/>
    <mergeCell ref="F45:G45"/>
    <mergeCell ref="N45:O45"/>
    <mergeCell ref="C46:D46"/>
    <mergeCell ref="F46:G46"/>
    <mergeCell ref="N46:O46"/>
    <mergeCell ref="C47:D47"/>
    <mergeCell ref="F47:G47"/>
    <mergeCell ref="N47:O47"/>
    <mergeCell ref="C48:D48"/>
    <mergeCell ref="F48:G48"/>
    <mergeCell ref="N48:O48"/>
    <mergeCell ref="D53:F53"/>
    <mergeCell ref="D56:G56"/>
    <mergeCell ref="C59:D59"/>
    <mergeCell ref="E59:H59"/>
    <mergeCell ref="D61:G61"/>
    <mergeCell ref="C63:D63"/>
    <mergeCell ref="D64:G64"/>
  </mergeCells>
  <dataValidations count="21">
    <dataValidation type="list" allowBlank="1" showInputMessage="1" prompt="לחץ לקבלת רשימת הערכים" showErrorMessage="1" errorStyle="stop" sqref="I13:I15">
      <formula1>$W$13:$W$16</formula1>
      <formula2>0</formula2>
    </dataValidation>
    <dataValidation type="list" allowBlank="1" showInputMessage="1" prompt="לחץ לקבלת רשימת הערכים" showErrorMessage="1" errorStyle="stop" sqref="I16:I48">
      <formula1>$W$15:$W$19</formula1>
      <formula2>0</formula2>
    </dataValidation>
    <dataValidation type="list" allowBlank="1" showErrorMessage="1" errorStyle="stop" sqref="I5">
      <formula1>$AC$11:$AC$21</formula1>
      <formula2>0</formula2>
    </dataValidation>
    <dataValidation type="list" allowBlank="1" showInputMessage="1" prompt="לחץ לקבלת רשימת ערכים " showErrorMessage="1" errorStyle="stop" sqref="J13:J15">
      <formula1>$X$13:$X$15</formula1>
      <formula2>0</formula2>
    </dataValidation>
    <dataValidation type="list" allowBlank="1" showInputMessage="1" prompt="לחץ לקבלת רשימת ערכים " showErrorMessage="1" errorStyle="stop" sqref="J16:J18">
      <formula1>$X$15:$X$17</formula1>
      <formula2>0</formula2>
    </dataValidation>
    <dataValidation type="list" allowBlank="1" showInputMessage="1" prompt="לחץ לקבלת רשימת ערכים " showErrorMessage="1" errorStyle="stop" sqref="J19:J20">
      <formula1>$X$13:$X$15</formula1>
      <formula2>0</formula2>
    </dataValidation>
    <dataValidation type="list" allowBlank="1" showInputMessage="1" prompt="לחץ לקבלת רשימת ערכים " showErrorMessage="1" errorStyle="stop" sqref="J21:J23">
      <formula1>$X$15:$X$17</formula1>
      <formula2>0</formula2>
    </dataValidation>
    <dataValidation type="list" allowBlank="1" showInputMessage="1" prompt="לחץ לקבלת רשימת ערכים " showErrorMessage="1" errorStyle="stop" sqref="J24:J26">
      <formula1>$X$13:$X$15</formula1>
      <formula2>0</formula2>
    </dataValidation>
    <dataValidation type="list" allowBlank="1" showInputMessage="1" prompt="לחץ לקבלת רשימת ערכים " showErrorMessage="1" errorStyle="stop" sqref="J27">
      <formula1>$X$15:$X$17</formula1>
      <formula2>0</formula2>
    </dataValidation>
    <dataValidation type="list" allowBlank="1" showInputMessage="1" prompt="לחץ לקבלת רשימת ערכים " showErrorMessage="1" errorStyle="stop" sqref="J28">
      <formula1>$X$13:$X$15</formula1>
      <formula2>0</formula2>
    </dataValidation>
    <dataValidation type="list" allowBlank="1" showInputMessage="1" prompt="לחץ לקבלת רשימת ערכים " showErrorMessage="1" errorStyle="stop" sqref="J29:J31">
      <formula1>$X$15:$X$17</formula1>
      <formula2>0</formula2>
    </dataValidation>
    <dataValidation type="list" allowBlank="1" showInputMessage="1" prompt="לחץ לקבלת רשימת ערכים " showErrorMessage="1" errorStyle="stop" sqref="J32">
      <formula1>$X$13:$X$15</formula1>
      <formula2>0</formula2>
    </dataValidation>
    <dataValidation type="list" allowBlank="1" showInputMessage="1" prompt="לחץ לקבלת רשימת ערכים " showErrorMessage="1" errorStyle="stop" sqref="J33:J34">
      <formula1>$X$15:$X$17</formula1>
      <formula2>0</formula2>
    </dataValidation>
    <dataValidation type="list" allowBlank="1" showInputMessage="1" prompt="לחץ לקבלת רשימת ערכים " showErrorMessage="1" errorStyle="stop" sqref="J35">
      <formula1>$X$13:$X$15</formula1>
      <formula2>0</formula2>
    </dataValidation>
    <dataValidation type="list" allowBlank="1" showInputMessage="1" prompt="לחץ לקבלת רשימת ערכים " showErrorMessage="1" errorStyle="stop" sqref="J36">
      <formula1>$X$15:$X$17</formula1>
      <formula2>0</formula2>
    </dataValidation>
    <dataValidation type="list" allowBlank="1" showInputMessage="1" prompt="לחץ לקבלת רשימת ערכים " showErrorMessage="1" errorStyle="stop" sqref="J37:J39">
      <formula1>$X$13:$X$15</formula1>
      <formula2>0</formula2>
    </dataValidation>
    <dataValidation type="list" allowBlank="1" showInputMessage="1" prompt="לחץ לקבלת רשימת ערכים " showErrorMessage="1" errorStyle="stop" sqref="J40">
      <formula1>$X$15:$X$17</formula1>
      <formula2>0</formula2>
    </dataValidation>
    <dataValidation type="list" allowBlank="1" showInputMessage="1" prompt="לחץ לקבלת רשימת ערכים " showErrorMessage="1" errorStyle="stop" sqref="J41">
      <formula1>$X$13:$X$15</formula1>
      <formula2>0</formula2>
    </dataValidation>
    <dataValidation type="list" allowBlank="1" showInputMessage="1" prompt="לחץ לקבלת רשימת ערכים " showErrorMessage="1" errorStyle="stop" sqref="J42:J44">
      <formula1>$X$15:$X$17</formula1>
      <formula2>0</formula2>
    </dataValidation>
    <dataValidation type="list" allowBlank="1" showInputMessage="1" prompt="לחץ לקבלת רשימת ערכים " showErrorMessage="1" errorStyle="stop" sqref="J45">
      <formula1>$X$13:$X$15</formula1>
      <formula2>0</formula2>
    </dataValidation>
    <dataValidation type="list" allowBlank="1" showInputMessage="1" prompt="לחץ לקבלת רשימת ערכים " showErrorMessage="1" errorStyle="stop" sqref="J46:J48">
      <formula1>$X$15:$X$17</formula1>
      <formula2>0</formula2>
    </dataValidation>
  </dataValidations>
  <pageMargins left="0.708333333333333" right="0.708333333333333" top="0.748611111111111" bottom="0.748611111111111" header="0.315277777777778" footer="0.315277777777778"/>
  <pageSetup paperSize="9" orientation="portrait" horizontalDpi="300" verticalDpi="300" scale="100" fitToWidth="1" fitToHeight="0" firstPageNumber="1" useFirstPageNumber="1" copies="1"/>
  <headerFooter>
    <oddHeader>&amp;L&amp;D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חישוב דירוג מצב המבני לקבוצה מב</vt:lpstr>
      <vt:lpstr>חישוב הציון - מפתח 1</vt:lpstr>
      <vt:lpstr>חישוב הציון - מפתח 2</vt:lpstr>
      <vt:lpstr>Sheet1</vt:lpstr>
      <vt:lpstr>חישוב הציון - מפתח 3</vt:lpstr>
      <vt:lpstr>חישוב הציון - מפתח 4</vt:lpstr>
      <vt:lpstr>חישוב הציון - מפתח 5</vt:lpstr>
      <vt:lpstr>חישוב הציון - מפתח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Stuchevsky</dc:creator>
  <dc:title>גיליון לחישוב ציון למבנה</dc:title>
  <dc:subject>סקירת גשרים ומבני דרך יפה נוף</dc:subject>
  <dc:description/>
  <dc:language>he-IL</dc:language>
  <cp:lastModifiedBy>Shahar Shoshani</cp:lastModifiedBy>
  <cp:lastPrinted>2018-06-17T17:23:39Z</cp:lastPrinted>
  <dcterms:created xsi:type="dcterms:W3CDTF">2006-10-23T18:01:12Z</dcterms:created>
  <dcterms:modified xsi:type="dcterms:W3CDTF">2018-06-17T17:24:12Z</dcterms:modified>
</cp:coreProperties>
</file>